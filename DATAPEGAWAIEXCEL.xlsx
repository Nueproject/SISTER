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R\"/>
    </mc:Choice>
  </mc:AlternateContent>
  <xr:revisionPtr revIDLastSave="0" documentId="13_ncr:1_{4A7CD8FC-1785-4D65-AC26-A9BBD291539A}" xr6:coauthVersionLast="36" xr6:coauthVersionMax="36" xr10:uidLastSave="{00000000-0000-0000-0000-000000000000}"/>
  <bookViews>
    <workbookView xWindow="0" yWindow="0" windowWidth="28800" windowHeight="12105" activeTab="3" xr2:uid="{97F82DA1-12D0-4BB1-AD5A-6AB6120092E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6" i="1"/>
  <c r="R7" i="1"/>
  <c r="R8" i="1"/>
  <c r="R9" i="1"/>
  <c r="R3" i="1"/>
  <c r="R4" i="1"/>
  <c r="R5" i="1"/>
  <c r="R2" i="1"/>
  <c r="P2" i="1"/>
  <c r="P3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4" i="1"/>
  <c r="P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2" i="1"/>
  <c r="H2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T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3" i="1"/>
  <c r="L3" i="1" s="1"/>
  <c r="K4" i="1"/>
  <c r="L4" i="1" s="1"/>
  <c r="K5" i="1"/>
  <c r="L5" i="1" s="1"/>
  <c r="K6" i="1"/>
  <c r="L6" i="1" s="1"/>
  <c r="K2" i="1"/>
  <c r="T2" i="1" s="1"/>
  <c r="H5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66" i="1"/>
  <c r="H159" i="1"/>
  <c r="H160" i="1"/>
  <c r="H161" i="1"/>
  <c r="H158" i="1"/>
  <c r="H125" i="1"/>
  <c r="H110" i="1"/>
  <c r="H107" i="1"/>
  <c r="H103" i="1"/>
  <c r="H102" i="1"/>
  <c r="H96" i="1"/>
  <c r="H92" i="1"/>
  <c r="H91" i="1"/>
  <c r="H70" i="1"/>
  <c r="H71" i="1"/>
  <c r="H72" i="1"/>
  <c r="H73" i="1"/>
  <c r="H74" i="1"/>
  <c r="H75" i="1"/>
  <c r="H69" i="1"/>
  <c r="H41" i="1"/>
  <c r="H42" i="1"/>
  <c r="H43" i="1"/>
  <c r="H44" i="1"/>
  <c r="H45" i="1"/>
  <c r="H46" i="1"/>
  <c r="H47" i="1"/>
  <c r="H48" i="1"/>
  <c r="H40" i="1"/>
  <c r="H35" i="1"/>
  <c r="H36" i="1"/>
  <c r="H37" i="1"/>
  <c r="H34" i="1"/>
  <c r="H27" i="1"/>
  <c r="H25" i="1"/>
  <c r="H24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6" i="1"/>
  <c r="H28" i="1"/>
  <c r="H29" i="1"/>
  <c r="H30" i="1"/>
  <c r="H31" i="1"/>
  <c r="H32" i="1"/>
  <c r="H33" i="1"/>
  <c r="H38" i="1"/>
  <c r="H39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3" i="1"/>
  <c r="H94" i="1"/>
  <c r="H95" i="1"/>
  <c r="H97" i="1"/>
  <c r="H98" i="1"/>
  <c r="H99" i="1"/>
  <c r="H100" i="1"/>
  <c r="H101" i="1"/>
  <c r="H104" i="1"/>
  <c r="H105" i="1"/>
  <c r="H106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2" i="1"/>
  <c r="H163" i="1"/>
  <c r="H164" i="1"/>
  <c r="H165" i="1"/>
  <c r="H4" i="1"/>
  <c r="H6" i="1"/>
  <c r="H7" i="1"/>
  <c r="H3" i="1"/>
  <c r="T47" i="1" l="1"/>
  <c r="T159" i="1"/>
  <c r="T111" i="1"/>
  <c r="T79" i="1"/>
  <c r="T15" i="1"/>
  <c r="T155" i="1"/>
  <c r="T123" i="1"/>
  <c r="T75" i="1"/>
  <c r="T43" i="1"/>
  <c r="T27" i="1"/>
  <c r="T167" i="1"/>
  <c r="T151" i="1"/>
  <c r="T135" i="1"/>
  <c r="T119" i="1"/>
  <c r="T103" i="1"/>
  <c r="T87" i="1"/>
  <c r="T71" i="1"/>
  <c r="T55" i="1"/>
  <c r="T39" i="1"/>
  <c r="T23" i="1"/>
  <c r="T7" i="1"/>
  <c r="T175" i="1"/>
  <c r="T143" i="1"/>
  <c r="T127" i="1"/>
  <c r="T95" i="1"/>
  <c r="T63" i="1"/>
  <c r="T31" i="1"/>
  <c r="T171" i="1"/>
  <c r="T139" i="1"/>
  <c r="T107" i="1"/>
  <c r="T91" i="1"/>
  <c r="T59" i="1"/>
  <c r="T11" i="1"/>
  <c r="T179" i="1"/>
  <c r="T163" i="1"/>
  <c r="T147" i="1"/>
  <c r="T131" i="1"/>
  <c r="T115" i="1"/>
  <c r="T99" i="1"/>
  <c r="T83" i="1"/>
  <c r="T67" i="1"/>
  <c r="T51" i="1"/>
  <c r="T35" i="1"/>
  <c r="T19" i="1"/>
  <c r="T3" i="1"/>
  <c r="T178" i="1"/>
  <c r="T174" i="1"/>
  <c r="T170" i="1"/>
  <c r="T166" i="1"/>
  <c r="T162" i="1"/>
  <c r="T158" i="1"/>
  <c r="T154" i="1"/>
  <c r="T150" i="1"/>
  <c r="T146" i="1"/>
  <c r="T142" i="1"/>
  <c r="T138" i="1"/>
  <c r="T134" i="1"/>
  <c r="T130" i="1"/>
  <c r="T126" i="1"/>
  <c r="T122" i="1"/>
  <c r="T118" i="1"/>
  <c r="T114" i="1"/>
  <c r="T110" i="1"/>
  <c r="T106" i="1"/>
  <c r="T102" i="1"/>
  <c r="T98" i="1"/>
  <c r="T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T6" i="1"/>
  <c r="L2" i="1"/>
  <c r="T177" i="1"/>
  <c r="T173" i="1"/>
  <c r="T169" i="1"/>
  <c r="T165" i="1"/>
  <c r="T161" i="1"/>
  <c r="T157" i="1"/>
  <c r="T153" i="1"/>
  <c r="T149" i="1"/>
  <c r="T145" i="1"/>
  <c r="T141" i="1"/>
  <c r="T137" i="1"/>
  <c r="T133" i="1"/>
  <c r="T129" i="1"/>
  <c r="T125" i="1"/>
  <c r="T121" i="1"/>
  <c r="T117" i="1"/>
  <c r="T113" i="1"/>
  <c r="T109" i="1"/>
  <c r="T105" i="1"/>
  <c r="T101" i="1"/>
  <c r="T97" i="1"/>
  <c r="T93" i="1"/>
  <c r="T89" i="1"/>
  <c r="T85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5" i="1"/>
  <c r="L40" i="1"/>
  <c r="T180" i="1"/>
  <c r="T176" i="1"/>
  <c r="T172" i="1"/>
  <c r="T168" i="1"/>
  <c r="T164" i="1"/>
  <c r="T160" i="1"/>
  <c r="T156" i="1"/>
  <c r="T152" i="1"/>
  <c r="T148" i="1"/>
  <c r="T144" i="1"/>
  <c r="T140" i="1"/>
  <c r="T136" i="1"/>
  <c r="T132" i="1"/>
  <c r="T128" i="1"/>
  <c r="T124" i="1"/>
  <c r="T120" i="1"/>
  <c r="T116" i="1"/>
  <c r="T112" i="1"/>
  <c r="T108" i="1"/>
  <c r="T104" i="1"/>
  <c r="T100" i="1"/>
  <c r="T96" i="1"/>
  <c r="T92" i="1"/>
  <c r="T88" i="1"/>
  <c r="T84" i="1"/>
  <c r="T80" i="1"/>
  <c r="T76" i="1"/>
  <c r="T72" i="1"/>
  <c r="T68" i="1"/>
  <c r="T64" i="1"/>
  <c r="T60" i="1"/>
  <c r="T56" i="1"/>
  <c r="T52" i="1"/>
  <c r="T48" i="1"/>
  <c r="T44" i="1"/>
  <c r="T36" i="1"/>
  <c r="T32" i="1"/>
  <c r="T28" i="1"/>
  <c r="T24" i="1"/>
  <c r="T20" i="1"/>
  <c r="T16" i="1"/>
  <c r="T12" i="1"/>
  <c r="T8" i="1"/>
  <c r="T4" i="1"/>
</calcChain>
</file>

<file path=xl/sharedStrings.xml><?xml version="1.0" encoding="utf-8"?>
<sst xmlns="http://schemas.openxmlformats.org/spreadsheetml/2006/main" count="1104" uniqueCount="468">
  <si>
    <t>SRI WIDAYANTI, S.H., M.M.</t>
  </si>
  <si>
    <t>IV/d, TMT 01-10-2024</t>
  </si>
  <si>
    <t xml:space="preserve">Kepala Kantor </t>
  </si>
  <si>
    <t>S2</t>
  </si>
  <si>
    <t>IWAN SETYO PRIHATIN, SH., M.A.P</t>
  </si>
  <si>
    <t>IV/b, TMT 01-10-2019</t>
  </si>
  <si>
    <t>Kepala Bagian Tata Usaha</t>
  </si>
  <si>
    <t>ARI WIBAWA , SE, M.AP.</t>
  </si>
  <si>
    <t>III/d, TMT 01-10-2025</t>
  </si>
  <si>
    <t>Kasubag Kepegawaian</t>
  </si>
  <si>
    <t>JUMALI, S.I.P</t>
  </si>
  <si>
    <t>III/b, TMT 01-10-2022</t>
  </si>
  <si>
    <t>Analis Sumber Daya 
Manusia Aparatur Ahli Pertama</t>
  </si>
  <si>
    <t>S1</t>
  </si>
  <si>
    <t>APRIYANI, SE</t>
  </si>
  <si>
    <t>III/d, TMT 01-04-2025</t>
  </si>
  <si>
    <t>Penelaah Teknis Kebijakan</t>
  </si>
  <si>
    <t>DIAN KUSUMA WARDHANI,A.Md</t>
  </si>
  <si>
    <t>III/c, TMT 01-11-2025</t>
  </si>
  <si>
    <t>Arsiparis Penyelia</t>
  </si>
  <si>
    <t>DIII</t>
  </si>
  <si>
    <t>DODY RAHMAT SHOLIHIN, S.IP, MPA</t>
  </si>
  <si>
    <t>III/c, TMT 01-08-2025</t>
  </si>
  <si>
    <t>Analis Sumber Daya 
Manusia Aparatur Ahli Muda</t>
  </si>
  <si>
    <t>NOVANDA FATIH HARDANTI, S.Psi., M.Psi., Psikolog</t>
  </si>
  <si>
    <t>III/b, TMT 01-06-2025</t>
  </si>
  <si>
    <t>ACHID ANUGRAHANTO, S.E.</t>
  </si>
  <si>
    <t>III/b, TMT 01-12-2024</t>
  </si>
  <si>
    <t>RADEN RARA FITRI WIKANDARI, S.I.Kom.</t>
  </si>
  <si>
    <t>III/b, TMT 01-11-2025</t>
  </si>
  <si>
    <t>Pranata SDM Mahir</t>
  </si>
  <si>
    <t>VICTORRIANUS BAGUS WINDA KURINIAWAN, S.Si.</t>
  </si>
  <si>
    <t>III/d, TMT 01-04-2026</t>
  </si>
  <si>
    <t>Pengolah Data dan 
Informasi</t>
  </si>
  <si>
    <t>MUHAMMAD ROBI SETIAWAN, S.AB.</t>
  </si>
  <si>
    <t xml:space="preserve">Analis Sumber Daya Manusia Aparatur Ahli Pertama
</t>
  </si>
  <si>
    <t>NINIK SETYORINI, SE</t>
  </si>
  <si>
    <t>Kasubag Perencanaan dan Keuangan</t>
  </si>
  <si>
    <t>VIVILIA KUSUMA JAYANTIE BASUKI, S.E., M.M.</t>
  </si>
  <si>
    <t>1985</t>
  </si>
  <si>
    <t>III/b, TMT 01-10-2025</t>
  </si>
  <si>
    <t>Arsiparis Ahli Pertama</t>
  </si>
  <si>
    <t>DIYAH RACHMAWATI HASMAMY, SE</t>
  </si>
  <si>
    <t>III/c, TMT 01-04-2023</t>
  </si>
  <si>
    <t>RETNO MILIASIH, S.E., M.E.</t>
  </si>
  <si>
    <t>IV/a, TMT 01-04-2024</t>
  </si>
  <si>
    <t>Analis Peng Keu APBN Madya</t>
  </si>
  <si>
    <t>RIAN USMAWATI, S.E.</t>
  </si>
  <si>
    <t>III/c, TMT 01-10-2025</t>
  </si>
  <si>
    <t>Analis Peng Keu APBN Pertama</t>
  </si>
  <si>
    <t>EVI RISTIANA, SE</t>
  </si>
  <si>
    <t>III/c, TMT 01-02-2024</t>
  </si>
  <si>
    <t>Analis Peng Keu APBN Muda</t>
  </si>
  <si>
    <t>FERA TRESNAWATI, M. Acc.</t>
  </si>
  <si>
    <t>III/b, TMT 01-10-2023</t>
  </si>
  <si>
    <t>HANDRIAN RAHMADANA, S.I.P</t>
  </si>
  <si>
    <t>III/b, TMT 01-03-2026</t>
  </si>
  <si>
    <t>AULIA TRI HASTUTI WULANDARI, A.Md.Kb.N</t>
  </si>
  <si>
    <t>II/d, TMT 01-02-2026</t>
  </si>
  <si>
    <t>SUHERI WIDOYOKO, SE</t>
  </si>
  <si>
    <t>III/c, TMT 01-10-2024</t>
  </si>
  <si>
    <t xml:space="preserve">Pranata Keuangan APBN Penyelia </t>
  </si>
  <si>
    <t>ALIFVIA SEZA FITRIANA, A.Md.Kb.N.</t>
  </si>
  <si>
    <t xml:space="preserve"> II/c</t>
  </si>
  <si>
    <t>SUNARKO, A.Md.Pas.</t>
  </si>
  <si>
    <t>VII</t>
  </si>
  <si>
    <t>Pranata Sumber Daya 
Manusia Aparatur Terampil</t>
  </si>
  <si>
    <t>GUNAWAN, S.IP.</t>
  </si>
  <si>
    <t>III/c, TMT 01-06-2025</t>
  </si>
  <si>
    <t>Kasubag Umum</t>
  </si>
  <si>
    <t>SOFIKA WAHDANI WIJAYANTI, S.Sn.</t>
  </si>
  <si>
    <t>III/b</t>
  </si>
  <si>
    <t>Pranata Humas Ahli Muda</t>
  </si>
  <si>
    <t>MAJID SETIYAWAN</t>
  </si>
  <si>
    <t>III/b, TMT 01-04-2023</t>
  </si>
  <si>
    <t>Pengelola Layanan 
Operasional</t>
  </si>
  <si>
    <t>SLTA</t>
  </si>
  <si>
    <t>RIA GUNAWAN, A.Md</t>
  </si>
  <si>
    <t>III/c, TMT 01-04-2026</t>
  </si>
  <si>
    <t>HANUM SOFIA NUR MERJANTI, S.IP</t>
  </si>
  <si>
    <t>III/b, TMT 01-10-2024</t>
  </si>
  <si>
    <t>Pranata Humas Ahli Pertama</t>
  </si>
  <si>
    <t>MELA MELATI, S. Tr. S. I.</t>
  </si>
  <si>
    <t>SUHADI ROHANI</t>
  </si>
  <si>
    <t>III/b, TMT 01-04-2026</t>
  </si>
  <si>
    <t>IMAM SUPARDI, A.Md</t>
  </si>
  <si>
    <t>III/a, TMT 01-10-2023</t>
  </si>
  <si>
    <t>EVI DARYANTI, A.Md.</t>
  </si>
  <si>
    <t>II/c</t>
  </si>
  <si>
    <t>Arsiparis Keterampilan</t>
  </si>
  <si>
    <t>BAGAS SANTOSA NUGRAHA, S.Tr.T.</t>
  </si>
  <si>
    <t>III/a</t>
  </si>
  <si>
    <t>Teknisi Sarana dan Prasarana</t>
  </si>
  <si>
    <t>LUTHFAN DARMAWAN, S.T.</t>
  </si>
  <si>
    <t>AYU TRIANA SETYANINGRUM, A.Md.</t>
  </si>
  <si>
    <t>Pengelola Keprotokolan</t>
  </si>
  <si>
    <t>THERESIA NATALIA SABU SUMA TUKAN, S.E.</t>
  </si>
  <si>
    <t>Pengelola pengadaan Barang/Jasa Pertama</t>
  </si>
  <si>
    <t>BURHAN ISLAMI A, S.I.Kom., M.A.</t>
  </si>
  <si>
    <t xml:space="preserve">MUHAMMAD FATCHAN HELVIAN, A.Md.Vet.
</t>
  </si>
  <si>
    <t>Arsiparis Terampil</t>
  </si>
  <si>
    <t>MUHAMMAD SIDIQ NOVIANTORO, 
A.Md</t>
  </si>
  <si>
    <t>NURLIANA DWI UTARI, A.Md.</t>
  </si>
  <si>
    <t>ACHMAD SIDIQ ASAD, S.Pd</t>
  </si>
  <si>
    <t>IX</t>
  </si>
  <si>
    <t>Penata Layanan Operasional</t>
  </si>
  <si>
    <t>AZOLLA SILVIANI, S.Sos.</t>
  </si>
  <si>
    <t>DIMAS DWI NUGROHO, S.Kom</t>
  </si>
  <si>
    <t>FRANSISCA TRIGIASMI, S.Pd.</t>
  </si>
  <si>
    <t>EKO ISWANDONO</t>
  </si>
  <si>
    <t>V</t>
  </si>
  <si>
    <t>Pengadministrasi Perkantoran</t>
  </si>
  <si>
    <t>SMK</t>
  </si>
  <si>
    <t>SULISTYO NUGROHO</t>
  </si>
  <si>
    <t>Operator Layanan Operasional</t>
  </si>
  <si>
    <t>SMA</t>
  </si>
  <si>
    <t>DWI HARYONO, S.H.</t>
  </si>
  <si>
    <t>IV/b, TMT 01-10-2023</t>
  </si>
  <si>
    <t>Analis Sumber Daya 
Manusia Aparatur Ahli Madya</t>
  </si>
  <si>
    <t>ENDAH SARI RAHAYU, S.E.</t>
  </si>
  <si>
    <t>IV/b, TMT 01-02-2024</t>
  </si>
  <si>
    <t>MOH. HUSAENI, S.IP</t>
  </si>
  <si>
    <t>SUYATNO, S.E.,  M.M.</t>
  </si>
  <si>
    <t>IV/a, TMT 01-04-2023</t>
  </si>
  <si>
    <t>ANDAYANI, S.Sos</t>
  </si>
  <si>
    <t>IV/a, TMT 01-08-2025</t>
  </si>
  <si>
    <t>SUWANTO, S.Sos</t>
  </si>
  <si>
    <t>III/d, TMT 01-04-2018</t>
  </si>
  <si>
    <t>AGUS WIDODO, S.Sos</t>
  </si>
  <si>
    <t>III/c, TMT 01-10-2023</t>
  </si>
  <si>
    <t>DEDY HERMAWAN, S.A.P.</t>
  </si>
  <si>
    <t>Pranata Sumber Daya 
Manusia Aparatur Penyelia</t>
  </si>
  <si>
    <t>TRIANI MEILANI, SAP.</t>
  </si>
  <si>
    <t>III/c, TMT 01-10-2022</t>
  </si>
  <si>
    <t>NORIN MUSTIKA RAHADIRI ABHESEKA, S.I.P.</t>
  </si>
  <si>
    <t>HANKENINA DEAFINOLA, S.I.P</t>
  </si>
  <si>
    <t>III/b, TMT 01-04-2025</t>
  </si>
  <si>
    <t>MUHAMMAD AJI SUKMA, S.M.</t>
  </si>
  <si>
    <t>DHEA APTA MONICA, S.A.P</t>
  </si>
  <si>
    <t>LAILYTA KHAIRINNISA, S.M</t>
  </si>
  <si>
    <t>III/b, TMT 01-12-2025</t>
  </si>
  <si>
    <t>MUHAMMAD CHANDRA ADIWIGUNA, S.M.</t>
  </si>
  <si>
    <t>III/b, TMT 01-08-2025</t>
  </si>
  <si>
    <t>AHMAD YURIYANTO, S.A.P</t>
  </si>
  <si>
    <t>Pranata Sumber Daya 
Manusia Aparatur Mahir</t>
  </si>
  <si>
    <t>JUNIARTO SETYO BUDHI, A.Md</t>
  </si>
  <si>
    <t>Arsiparis Mahir</t>
  </si>
  <si>
    <t>DIAS TRIYADI, SE</t>
  </si>
  <si>
    <t>III/d, TMT 01-04-2022</t>
  </si>
  <si>
    <t>BADARNO</t>
  </si>
  <si>
    <t>III/b, TMT 01-04-2012</t>
  </si>
  <si>
    <t>Pengadministrasi 
Perkantoran</t>
  </si>
  <si>
    <t>SUTARTO</t>
  </si>
  <si>
    <t>III/b, TMT 01-10-2021</t>
  </si>
  <si>
    <t>FATIMA HANA FITRIATI, S.I.P.</t>
  </si>
  <si>
    <t xml:space="preserve"> III/b</t>
  </si>
  <si>
    <t>LIA BUNYATI, A.Md.A.Pkt</t>
  </si>
  <si>
    <t>NDARI WAHYUNINGSIH, A.Md.Sek.</t>
  </si>
  <si>
    <t xml:space="preserve">WIJI LESTARI, A.Md.Kom.
</t>
  </si>
  <si>
    <t xml:space="preserve">SITI ZUNTIKHANAH, A.Md.
</t>
  </si>
  <si>
    <t>Pranata Komputer Terampil</t>
  </si>
  <si>
    <t>TOFIK RIYADI, A.Md.</t>
  </si>
  <si>
    <t>INA RESTI FAUZI, A.Md</t>
  </si>
  <si>
    <t xml:space="preserve">VII </t>
  </si>
  <si>
    <t>SUKISNA, S.H., M.M.</t>
  </si>
  <si>
    <t>IV/c, TMT 01-02-2025</t>
  </si>
  <si>
    <t>SRI NARIYA, S.IP</t>
  </si>
  <si>
    <t>TRI WIHARJANTI, S.IP</t>
  </si>
  <si>
    <t xml:space="preserve"> IV/a, TMT 01-10-2024</t>
  </si>
  <si>
    <t xml:space="preserve">KUN BUDI WURYANI, S.IP.MM </t>
  </si>
  <si>
    <t>IV/a, TMT 01-10-2020</t>
  </si>
  <si>
    <t>ENDANG PURWATI, S.Sos</t>
  </si>
  <si>
    <t>RINI, SE</t>
  </si>
  <si>
    <t>III/d, TMT 01-10-2021</t>
  </si>
  <si>
    <t>SUHARTONO, S.Sos</t>
  </si>
  <si>
    <t>AHMAD BUDI SUTRISNA</t>
  </si>
  <si>
    <t>III/c, TMT 01-04-2024</t>
  </si>
  <si>
    <t>ATHO` ZULIANTA, S.IP</t>
  </si>
  <si>
    <t>III/b, TMT 01-04-2021</t>
  </si>
  <si>
    <t>ELISA FIRDA AMALIA, S.E.</t>
  </si>
  <si>
    <t>FITRIA TAHTA MAULA, S.H.</t>
  </si>
  <si>
    <t>BAYU PRASTIANTO,S.E</t>
  </si>
  <si>
    <t>III/b, TMT 01-01-2026</t>
  </si>
  <si>
    <t>AMIR  NUGROHO</t>
  </si>
  <si>
    <t>III/a, TMT 01-04-2023</t>
  </si>
  <si>
    <t>SUPARGIYANTO, S.SOS</t>
  </si>
  <si>
    <t>III/d, TMT 01-04-2019</t>
  </si>
  <si>
    <t xml:space="preserve">Penata Kelola Hukum dan 
Perundang-Undangan </t>
  </si>
  <si>
    <t>PUJI AGUNG SUPADI, A.Md</t>
  </si>
  <si>
    <t>III/c, TMT 01-04-2018</t>
  </si>
  <si>
    <t xml:space="preserve">RIZAL BUDIYANTO, A.Md.T.
</t>
  </si>
  <si>
    <t>ERNI PAJARWATI, A.Md.</t>
  </si>
  <si>
    <t>ANANG PIKUKUH PURWOKO, SE, M.M.</t>
  </si>
  <si>
    <t>DELI INDRA WAHYUDI, SH, M.M.</t>
  </si>
  <si>
    <t>IV/b, TMT 01-10-2025</t>
  </si>
  <si>
    <t>DEWI FAUZIYATI, S.Psi, M.A.</t>
  </si>
  <si>
    <t>IV/a, TMT 01-06-2025</t>
  </si>
  <si>
    <t>ADI WIBOWO, SH</t>
  </si>
  <si>
    <t>IV/a</t>
  </si>
  <si>
    <t>RANI ADHITA NANDURI SIREGAR, SH, MIR., MIL.</t>
  </si>
  <si>
    <t>NELLY ELIANINGTYAS, S.M.</t>
  </si>
  <si>
    <t>SEPSA KUSUMAWARDANI, S.M.</t>
  </si>
  <si>
    <t>ETSA JUWITA SARI, SH</t>
  </si>
  <si>
    <t>III/b, TMT 01-04-2022</t>
  </si>
  <si>
    <t>Penata Kelola Hukum dan 
Perundang-Undangan</t>
  </si>
  <si>
    <t>ADITYA PRAMUDITO, S.Psi</t>
  </si>
  <si>
    <t>MUHAMMAD ADDRES AKMALUDDIN, S.H.</t>
  </si>
  <si>
    <t>Analis Hukum Keahlian</t>
  </si>
  <si>
    <t>ARIF RAHMAD YULIA MUSTAFA, S.A.P.</t>
  </si>
  <si>
    <t xml:space="preserve">TIN YUNIATI, S.Psi </t>
  </si>
  <si>
    <t xml:space="preserve">Asesor Sumber Daya Manusia Aparatur Ahli 
Muda
</t>
  </si>
  <si>
    <t>YUSSI HENDRAYANTI, S.SOS</t>
  </si>
  <si>
    <t>III/d, TMT 01-04-2024</t>
  </si>
  <si>
    <t>AYA SALIKHA SUBAGYO, S.Psi</t>
  </si>
  <si>
    <t xml:space="preserve">III/c, TMT </t>
  </si>
  <si>
    <t>GILANG ARTHYO LUMAKSONO, S.Psi</t>
  </si>
  <si>
    <t>III/c</t>
  </si>
  <si>
    <t>AULIA ROKHMAH, SE</t>
  </si>
  <si>
    <t>III/b, TMT 01-04-2019</t>
  </si>
  <si>
    <t>ANDHANI HARISHA CHABIB, S.Psi, M.Psi, Psikolog</t>
  </si>
  <si>
    <t>III/b, TMT 01-02-2020</t>
  </si>
  <si>
    <t xml:space="preserve">Asesor Sumber Daya Manusia Aparatur Ahli 
Pertama
</t>
  </si>
  <si>
    <t>MAHDA DALUAS WIDAYANI, A.Md.</t>
  </si>
  <si>
    <t>CICIH LASMIYATI, S.Sos. M.Si.</t>
  </si>
  <si>
    <t>IV/a, TMT 01-06-2024</t>
  </si>
  <si>
    <t>Auditor Manajemen Aparatur 
Sipil Negara Ahli Madya</t>
  </si>
  <si>
    <t>TUTIK WINARTI, S.IP.  M.Si.</t>
  </si>
  <si>
    <t>BS.SURYANINGSIH HANDAYANI, S.Sos</t>
  </si>
  <si>
    <t>EKA PANGESTUTI, S.IP, M.P.A</t>
  </si>
  <si>
    <t>Auditor Manajemen Aparatur 
Sipil Negara Ahli Muda</t>
  </si>
  <si>
    <t>RIDLOWI, S.Sos. MA.</t>
  </si>
  <si>
    <t>III/d, TMT 01-06-2025</t>
  </si>
  <si>
    <t>ENI ISNIWATI, S.IP.,  M.M.</t>
  </si>
  <si>
    <t>ALBERTUS TRIKUMORO, S.H.</t>
  </si>
  <si>
    <t>RUSMIN NURYADIN, SE</t>
  </si>
  <si>
    <t>III/d, TMT 01-04-2017</t>
  </si>
  <si>
    <t>IBNU SUTRIYANTO, S.IP</t>
  </si>
  <si>
    <t>BINTARI RURANTI WISARINI, S.A.P</t>
  </si>
  <si>
    <t>Auditor Manajemen Aparatur 
Sipil Negara Ahli Pertama</t>
  </si>
  <si>
    <t>LATIFAH, SE</t>
  </si>
  <si>
    <t>III/c, TMT 01-04-2022</t>
  </si>
  <si>
    <t>TRIA MERINA CAHYADEWI, M. Acc.</t>
  </si>
  <si>
    <t>s2</t>
  </si>
  <si>
    <t>NUR ICHSANUDIN, S.I.P</t>
  </si>
  <si>
    <t>RIDWAN KUSUMA MAWARDANI, S.H.</t>
  </si>
  <si>
    <t>REZA INDRIANTO, S.Sos.</t>
  </si>
  <si>
    <t>Auditor Manajemen Aparatur Sipil Negara Keahlian</t>
  </si>
  <si>
    <t>STEPHANUS FIRMANTO T, S.Kom</t>
  </si>
  <si>
    <t xml:space="preserve"> IV/a, TMT 01-10-2023</t>
  </si>
  <si>
    <t>Pranata Komputer Ahli Madya</t>
  </si>
  <si>
    <t>KASTIYAH YOHANA, S.H, M.M.</t>
  </si>
  <si>
    <t xml:space="preserve"> IV/a, TMT 01-10-2021</t>
  </si>
  <si>
    <t>Arsiparis Ahli Madya</t>
  </si>
  <si>
    <t>BAYU WIDYO HASTORO, S.Sos</t>
  </si>
  <si>
    <t>III/d, TMT 01-10-2019</t>
  </si>
  <si>
    <t>Y. SOETONO, S.Sos</t>
  </si>
  <si>
    <t>III/d, TMT 01-10-2010</t>
  </si>
  <si>
    <t>TRIAS PURNOMO, S.Kom.</t>
  </si>
  <si>
    <t>1981</t>
  </si>
  <si>
    <t>III/d, TMT 01-10-2018</t>
  </si>
  <si>
    <t>AGUS SALIM, S.IP</t>
  </si>
  <si>
    <t>ADI CHANDRA NEGARA, S.Sos, MM</t>
  </si>
  <si>
    <t>AROHMAN SHOLEH, S.Kom.</t>
  </si>
  <si>
    <t>Pranata Komputer Ahli Muda</t>
  </si>
  <si>
    <t>HANIF RAHMAWAN, S.Kom. M.Cs</t>
  </si>
  <si>
    <t>III/d, TMT 01-04-2023</t>
  </si>
  <si>
    <t>SA'DIYAH NOOR NOVITA  ALFISAHRIN, S.Kom, M.Kom.</t>
  </si>
  <si>
    <t>SUYANTI</t>
  </si>
  <si>
    <t>AAN CANDRA ROKHANI, A.Md</t>
  </si>
  <si>
    <t>SUMANTRI, S.IP.</t>
  </si>
  <si>
    <t>VIVID SUDIARTO, S.Kom</t>
  </si>
  <si>
    <t>Pranata Komputer Ahli Pertama</t>
  </si>
  <si>
    <t>SRI LESTARI, S.Kom</t>
  </si>
  <si>
    <t>INDRI RISANTI TAUFIQ, ST</t>
  </si>
  <si>
    <t>MUHAMAD IMAM SETYAWAN, S.Kom</t>
  </si>
  <si>
    <t>MAGHFlRA MAULANI, S.Kom.</t>
  </si>
  <si>
    <t>III/b, TMT 01-02-2026</t>
  </si>
  <si>
    <t>YASITA YULIANA SARI, S.S.T.Ars.</t>
  </si>
  <si>
    <t xml:space="preserve">III/a, TMT </t>
  </si>
  <si>
    <t>BRIGIDA ARIE MINARTININGTYAS,S.Kom., M.Kom.</t>
  </si>
  <si>
    <t>SULPICIUS SUHERYANTO, S.AP</t>
  </si>
  <si>
    <t>WENING PRASETYO PAMEKAS, S.AP</t>
  </si>
  <si>
    <t>SONY SATYA NUGRAHA, S.Kom.</t>
  </si>
  <si>
    <t>Pranata Komputer Penyelia</t>
  </si>
  <si>
    <t xml:space="preserve">NISMA DEWI PRAPTANI, S.S.T.Ars. </t>
  </si>
  <si>
    <t>SURYANTA</t>
  </si>
  <si>
    <t>EKO MARTIYANTO PRAYOGI</t>
  </si>
  <si>
    <t>III/b, TMT 01-10-2020</t>
  </si>
  <si>
    <t>ISNAINI ARDI SAPUTRA, S.Si.</t>
  </si>
  <si>
    <t xml:space="preserve">Penata Kelola Sistem dan 
Teknologi Informasi </t>
  </si>
  <si>
    <t>ANNISA ARTI JAYANTI, S.Kom.</t>
  </si>
  <si>
    <t>FIDDYANTO HIDAYAT, S, Kom.</t>
  </si>
  <si>
    <t>MIFTAHUL ULUM, S.Kom.</t>
  </si>
  <si>
    <t>AGUSTIN AYU KUSUMAWATI, S.Si., M.E.K.K.</t>
  </si>
  <si>
    <t>TARMIJAH</t>
  </si>
  <si>
    <t>III/b, TMT 01-04-2008</t>
  </si>
  <si>
    <t>FERI BENING PRIHONO, S.Kom.</t>
  </si>
  <si>
    <t xml:space="preserve">IX </t>
  </si>
  <si>
    <t>NASRUL KURNIAWAN, A.Md.</t>
  </si>
  <si>
    <t>DEFI MARDIKASARI, A.Md.</t>
  </si>
  <si>
    <t>WINDI LESTARI, A.Md.A.B.</t>
  </si>
  <si>
    <t>AHYU WULANDARI, S.Kom</t>
  </si>
  <si>
    <t>III/d, TMT 01-04-2016</t>
  </si>
  <si>
    <t>Kepala UPT</t>
  </si>
  <si>
    <t>SHINTA TRI WINDARTI, A.Md</t>
  </si>
  <si>
    <t>Pranata Komputer Mahir</t>
  </si>
  <si>
    <t>HIDAYATULLOH HASANI, S.A.P</t>
  </si>
  <si>
    <t>DWI FIRSAYANTI, S.Sos</t>
  </si>
  <si>
    <t>FATHAN HUDYAUSSIE SANTOSO, S.T.</t>
  </si>
  <si>
    <t>200005302025061004</t>
  </si>
  <si>
    <t>Pranata Komputer Keahlian</t>
  </si>
  <si>
    <t>NURUL IFTIANA, A.Md.Sek.</t>
  </si>
  <si>
    <t>199603202025062002</t>
  </si>
  <si>
    <t>VITARA CINTA TRIA HANIFA, A.Md.</t>
  </si>
  <si>
    <t>200207252025062003</t>
  </si>
  <si>
    <t>FATKHIYA FIRDAUSY NUZULIA SURYONEGORO, A.Md.Kom.</t>
  </si>
  <si>
    <t>200304032025062001</t>
  </si>
  <si>
    <t>Pranata Komputer Keterampilan</t>
  </si>
  <si>
    <t>IBNU NAUFAL, A.Md.Kom.</t>
  </si>
  <si>
    <t>199909222025061002</t>
  </si>
  <si>
    <t>MUCHAMAD RAGIL SAPUTRA, A.Md.Kom.</t>
  </si>
  <si>
    <t>199501042025061001</t>
  </si>
  <si>
    <t>AHMAD ALI AZHARY, A.Md.Kom.</t>
  </si>
  <si>
    <t>199907252025061001</t>
  </si>
  <si>
    <t>Pranata Sumber Daya Manusia Aparatur Keterampilan</t>
  </si>
  <si>
    <t>LAILA ZORAYA AHMAD, A.Md.</t>
  </si>
  <si>
    <t>199004102025062001</t>
  </si>
  <si>
    <t>AGUS AHMAD KHOIR, S.Kom.</t>
  </si>
  <si>
    <t>199708202025061001</t>
  </si>
  <si>
    <t>Penata Kelola Sistem dan Teknologi Informasi</t>
  </si>
  <si>
    <t>ARDI NUR HANDOYO MUKTI, S.Kom.</t>
  </si>
  <si>
    <t>200102022025061001</t>
  </si>
  <si>
    <t>M. FAQIH FAJRUNNAJA, S.T.</t>
  </si>
  <si>
    <t>200009012025061005</t>
  </si>
  <si>
    <t>MUHAMMAD ADITYA MH, A.Md.</t>
  </si>
  <si>
    <t>199807012025061002</t>
  </si>
  <si>
    <t>ERIKA DWI ANDININGTYAS, S.E.</t>
  </si>
  <si>
    <t xml:space="preserve">Penelaah Teknis Kebijakan </t>
  </si>
  <si>
    <t>PUTUT DWI SULISTYANTO, S.Sos.,M.M.</t>
  </si>
  <si>
    <t>III/d</t>
  </si>
  <si>
    <t>AHMAD KOMARUDIN</t>
  </si>
  <si>
    <t>NAMA</t>
  </si>
  <si>
    <t>NIP</t>
  </si>
  <si>
    <t>tahunlahir</t>
  </si>
  <si>
    <t>bulan lahir</t>
  </si>
  <si>
    <t>Golongan TMT</t>
  </si>
  <si>
    <t>Jabatan</t>
  </si>
  <si>
    <t>Pendidikan</t>
  </si>
  <si>
    <t>196704231993032001</t>
  </si>
  <si>
    <t>198511072015031001</t>
  </si>
  <si>
    <t>198812252019021002</t>
  </si>
  <si>
    <t>199106142020121008</t>
  </si>
  <si>
    <t>198407092015032002</t>
  </si>
  <si>
    <t>198510182014022003</t>
  </si>
  <si>
    <t>197507212006042001</t>
  </si>
  <si>
    <t>198306062015032002</t>
  </si>
  <si>
    <t>199302202020122004</t>
  </si>
  <si>
    <t>198903042022031003</t>
  </si>
  <si>
    <t>200006152022022001</t>
  </si>
  <si>
    <t>198004202015031002</t>
  </si>
  <si>
    <t>199002272023211017</t>
  </si>
  <si>
    <t>199009232019022004</t>
  </si>
  <si>
    <t>197409152006041004</t>
  </si>
  <si>
    <t>199510242025062001</t>
  </si>
  <si>
    <t>200209112025061001</t>
  </si>
  <si>
    <t>200001122025061001</t>
  </si>
  <si>
    <t>199610112025062002</t>
  </si>
  <si>
    <t>199509152020122010</t>
  </si>
  <si>
    <t>199505152019021003</t>
  </si>
  <si>
    <t>199410262020122007</t>
  </si>
  <si>
    <t>199702052022032010</t>
  </si>
  <si>
    <t>199610232020121005</t>
  </si>
  <si>
    <t>199508062020121005</t>
  </si>
  <si>
    <t xml:space="preserve">199701072024212028
</t>
  </si>
  <si>
    <t>198102282024212007</t>
  </si>
  <si>
    <t>197509151998032001</t>
  </si>
  <si>
    <t>198310162002112001</t>
  </si>
  <si>
    <t>199512062020122011</t>
  </si>
  <si>
    <t>199710072020122012</t>
  </si>
  <si>
    <t>199405162022031004</t>
  </si>
  <si>
    <t>196805171996031001</t>
  </si>
  <si>
    <t>199304232018012003</t>
  </si>
  <si>
    <t>199806222025061001</t>
  </si>
  <si>
    <t>198607062014021001</t>
  </si>
  <si>
    <t>198507052015031001</t>
  </si>
  <si>
    <t>198804212019021001</t>
  </si>
  <si>
    <t>198609032009122001</t>
  </si>
  <si>
    <t>199304082020122010</t>
  </si>
  <si>
    <t>199407282022031003</t>
  </si>
  <si>
    <t>199601182025061001</t>
  </si>
  <si>
    <t>197302252001121001</t>
  </si>
  <si>
    <t>198106152006041005</t>
  </si>
  <si>
    <t>198502192009121001</t>
  </si>
  <si>
    <t>198408092015032001</t>
  </si>
  <si>
    <t>198907052019022007</t>
  </si>
  <si>
    <t>198412082019022002</t>
  </si>
  <si>
    <t>199204042019021004</t>
  </si>
  <si>
    <t>199207142015032002</t>
  </si>
  <si>
    <t>198702012022032001</t>
  </si>
  <si>
    <t>198004192014021001</t>
  </si>
  <si>
    <t>199003092014022006</t>
  </si>
  <si>
    <t>199208182014022001</t>
  </si>
  <si>
    <t>196805101994032001</t>
  </si>
  <si>
    <t>198811042015032007</t>
  </si>
  <si>
    <t>198610072015031004</t>
  </si>
  <si>
    <t>197708311997031000</t>
  </si>
  <si>
    <t>198111072024211003</t>
  </si>
  <si>
    <t>199511152024212024</t>
  </si>
  <si>
    <t>198108142024211002</t>
  </si>
  <si>
    <t>199208032024211019</t>
  </si>
  <si>
    <t>198606012024212015</t>
  </si>
  <si>
    <t>199507152024212029</t>
  </si>
  <si>
    <t>198603212024212017</t>
  </si>
  <si>
    <t>199502182024212023</t>
  </si>
  <si>
    <t>196910261995111001</t>
  </si>
  <si>
    <t>198804042025211044</t>
  </si>
  <si>
    <t xml:space="preserve"> </t>
  </si>
  <si>
    <t>bidang</t>
  </si>
  <si>
    <t>golongan</t>
  </si>
  <si>
    <t>jabatan</t>
  </si>
  <si>
    <t>status</t>
  </si>
  <si>
    <t>jenis_jabatan</t>
  </si>
  <si>
    <t>id_jabatan</t>
  </si>
  <si>
    <t>gelar</t>
  </si>
  <si>
    <t>id_gelar</t>
  </si>
  <si>
    <t>nama_gelar</t>
  </si>
  <si>
    <t>Professor</t>
  </si>
  <si>
    <t>S3</t>
  </si>
  <si>
    <t>SMP</t>
  </si>
  <si>
    <t>SLTP</t>
  </si>
  <si>
    <t>nomor_hp</t>
  </si>
  <si>
    <t>foto</t>
  </si>
  <si>
    <t>08123</t>
  </si>
  <si>
    <t>id_pegawai</t>
  </si>
  <si>
    <t>nama_pegawai</t>
  </si>
  <si>
    <t>nip_pegawai</t>
  </si>
  <si>
    <t>jenis_kelamin</t>
  </si>
  <si>
    <t>I/A</t>
  </si>
  <si>
    <t>I/B</t>
  </si>
  <si>
    <t>I/C</t>
  </si>
  <si>
    <t>I/D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</si>
  <si>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</si>
  <si>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</si>
  <si>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</si>
  <si>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</si>
  <si>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</si>
  <si>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</si>
  <si>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</si>
  <si>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</si>
  <si>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</si>
  <si>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</si>
  <si>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</si>
  <si>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</si>
  <si>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</si>
  <si>
    <t>I</t>
  </si>
  <si>
    <t>II</t>
  </si>
  <si>
    <t>III</t>
  </si>
  <si>
    <t>IV</t>
  </si>
  <si>
    <t>VI</t>
  </si>
  <si>
    <t>VIII</t>
  </si>
  <si>
    <t>X</t>
  </si>
  <si>
    <t>XI</t>
  </si>
  <si>
    <t>XII</t>
  </si>
  <si>
    <t>XIII</t>
  </si>
  <si>
    <t>XIV</t>
  </si>
  <si>
    <t>XV</t>
  </si>
  <si>
    <t>XVI</t>
  </si>
  <si>
    <t>XVII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</si>
</sst>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0" fillId="0" borderId="6" xfId="0" quotePrefix="1" applyFont="1" applyBorder="1" applyAlignment="1">
      <alignment vertical="center" wrapText="1"/>
    </xf>
    <xf numFmtId="0" fontId="2" fillId="2" borderId="4" xfId="0" quotePrefix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0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49" fontId="0" fillId="0" borderId="0" xfId="0" applyNumberFormat="1"/>
    <xf numFmtId="49" fontId="3" fillId="0" borderId="2" xfId="0" quotePrefix="1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49" fontId="2" fillId="0" borderId="3" xfId="0" quotePrefix="1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4" xfId="0" quotePrefix="1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3" xfId="0" quotePrefix="1" applyNumberFormat="1" applyFont="1" applyFill="1" applyBorder="1" applyAlignment="1">
      <alignment horizontal="left" vertical="center"/>
    </xf>
    <xf numFmtId="49" fontId="3" fillId="2" borderId="3" xfId="0" quotePrefix="1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4" xfId="0" quotePrefix="1" applyNumberFormat="1" applyFont="1" applyFill="1" applyBorder="1" applyAlignment="1">
      <alignment horizontal="left" vertical="center"/>
    </xf>
    <xf numFmtId="49" fontId="0" fillId="0" borderId="6" xfId="0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left" vertical="center"/>
    </xf>
    <xf numFmtId="49" fontId="3" fillId="0" borderId="9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0" fillId="0" borderId="6" xfId="0" quotePrefix="1" applyNumberFormat="1" applyFont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left" vertical="center"/>
    </xf>
    <xf numFmtId="49" fontId="3" fillId="2" borderId="1" xfId="0" quotePrefix="1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" xfId="0" quotePrefix="1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6" fillId="2" borderId="3" xfId="0" quotePrefix="1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0" borderId="1" xfId="0" quotePrefix="1" applyNumberFormat="1" applyFont="1" applyFill="1" applyBorder="1" applyAlignment="1">
      <alignment horizontal="left" vertical="center"/>
    </xf>
    <xf numFmtId="49" fontId="1" fillId="0" borderId="6" xfId="0" quotePrefix="1" applyNumberFormat="1" applyFont="1" applyBorder="1" applyAlignment="1">
      <alignment horizontal="left" vertical="center"/>
    </xf>
    <xf numFmtId="49" fontId="3" fillId="2" borderId="2" xfId="0" quotePrefix="1" applyNumberFormat="1" applyFont="1" applyFill="1" applyBorder="1" applyAlignment="1">
      <alignment horizontal="left" vertical="center"/>
    </xf>
    <xf numFmtId="49" fontId="0" fillId="0" borderId="0" xfId="0" quotePrefix="1" applyNumberFormat="1" applyFont="1" applyAlignment="1">
      <alignment horizontal="left" vertical="center"/>
    </xf>
    <xf numFmtId="49" fontId="3" fillId="2" borderId="6" xfId="0" quotePrefix="1" applyNumberFormat="1" applyFont="1" applyFill="1" applyBorder="1" applyAlignment="1">
      <alignment horizontal="left" vertical="center"/>
    </xf>
    <xf numFmtId="49" fontId="3" fillId="0" borderId="6" xfId="0" quotePrefix="1" applyNumberFormat="1" applyFont="1" applyFill="1" applyBorder="1" applyAlignment="1">
      <alignment horizontal="left" vertical="center"/>
    </xf>
    <xf numFmtId="49" fontId="2" fillId="2" borderId="6" xfId="0" quotePrefix="1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quotePrefix="1" applyNumberFormat="1" applyFont="1" applyFill="1" applyBorder="1" applyAlignment="1">
      <alignment horizontal="left" vertical="center" wrapText="1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557D-5E5B-4B57-A935-C84D31D6DAD6}">
  <dimension ref="A1:T182"/>
  <sheetViews>
    <sheetView topLeftCell="F10" zoomScale="68" zoomScaleNormal="68" workbookViewId="0">
      <selection activeCell="I1" sqref="I1:I1048576"/>
    </sheetView>
  </sheetViews>
  <sheetFormatPr defaultRowHeight="15" x14ac:dyDescent="0.25"/>
  <cols>
    <col min="1" max="1" width="53" bestFit="1" customWidth="1"/>
    <col min="2" max="2" width="19.28515625" style="77" bestFit="1" customWidth="1"/>
    <col min="5" max="5" width="20" bestFit="1" customWidth="1"/>
    <col min="6" max="6" width="52.28515625" bestFit="1" customWidth="1"/>
    <col min="7" max="7" width="11" bestFit="1" customWidth="1"/>
    <col min="8" max="8" width="11.42578125" bestFit="1" customWidth="1"/>
    <col min="9" max="9" width="11" customWidth="1"/>
    <col min="10" max="10" width="53" bestFit="1" customWidth="1"/>
    <col min="11" max="11" width="20.42578125" bestFit="1" customWidth="1"/>
    <col min="12" max="12" width="13.85546875" bestFit="1" customWidth="1"/>
    <col min="15" max="15" width="9.140625" customWidth="1"/>
    <col min="16" max="16" width="15.5703125" customWidth="1"/>
    <col min="19" max="19" width="10.140625" bestFit="1" customWidth="1"/>
    <col min="20" max="20" width="27.7109375" customWidth="1"/>
  </cols>
  <sheetData>
    <row r="1" spans="1:20" x14ac:dyDescent="0.25">
      <c r="A1" t="s">
        <v>341</v>
      </c>
      <c r="B1" s="77" t="s">
        <v>342</v>
      </c>
      <c r="C1" t="s">
        <v>344</v>
      </c>
      <c r="D1" t="s">
        <v>343</v>
      </c>
      <c r="E1" t="s">
        <v>345</v>
      </c>
      <c r="F1" t="s">
        <v>346</v>
      </c>
      <c r="G1" t="s">
        <v>347</v>
      </c>
      <c r="H1" t="s">
        <v>418</v>
      </c>
      <c r="I1" t="s">
        <v>433</v>
      </c>
      <c r="J1" t="s">
        <v>434</v>
      </c>
      <c r="K1" t="s">
        <v>435</v>
      </c>
      <c r="L1" t="s">
        <v>436</v>
      </c>
      <c r="N1" t="s">
        <v>417</v>
      </c>
      <c r="O1" t="s">
        <v>420</v>
      </c>
      <c r="P1" t="s">
        <v>421</v>
      </c>
      <c r="Q1" t="s">
        <v>419</v>
      </c>
      <c r="R1" t="s">
        <v>423</v>
      </c>
      <c r="S1" t="s">
        <v>430</v>
      </c>
      <c r="T1" t="s">
        <v>431</v>
      </c>
    </row>
    <row r="2" spans="1:20" ht="15.75" x14ac:dyDescent="0.25">
      <c r="A2" s="2" t="s">
        <v>0</v>
      </c>
      <c r="B2" s="78" t="s">
        <v>348</v>
      </c>
      <c r="C2" s="1">
        <v>4</v>
      </c>
      <c r="D2" s="3">
        <v>1967</v>
      </c>
      <c r="E2" s="1" t="s">
        <v>1</v>
      </c>
      <c r="F2" s="4" t="s">
        <v>2</v>
      </c>
      <c r="G2" s="5" t="s">
        <v>3</v>
      </c>
      <c r="H2" t="str">
        <f>LEFT(E2, SEARCH(",",E2)-1)</f>
        <v>IV/d</v>
      </c>
      <c r="I2">
        <v>1</v>
      </c>
      <c r="J2" t="str">
        <f>A2</f>
        <v>SRI WIDAYANTI, S.H., M.M.</v>
      </c>
      <c r="K2" t="str">
        <f>""&amp;B2</f>
        <v>196704231993032001</v>
      </c>
      <c r="L2" t="str">
        <f>LEFT(RIGHT(K2, 4), 1)</f>
        <v>2</v>
      </c>
      <c r="N2">
        <v>6</v>
      </c>
      <c r="O2">
        <v>1</v>
      </c>
      <c r="P2">
        <f>INDEX(Sheet2!A:A, MATCH(F2, Sheet2!B:B, 0))</f>
        <v>1</v>
      </c>
      <c r="Q2">
        <v>1</v>
      </c>
      <c r="R2">
        <f>INDEX(Sheet3!A:A, MATCH(G2, Sheet3!B:B, 0))</f>
        <v>3</v>
      </c>
      <c r="S2" s="121" t="s">
        <v>432</v>
      </c>
      <c r="T2" t="str">
        <f>CONCATENATE(K2, ".jpg")</f>
        <v>196704231993032001.jpg</v>
      </c>
    </row>
    <row r="3" spans="1:20" ht="15.75" x14ac:dyDescent="0.25">
      <c r="A3" s="7" t="s">
        <v>4</v>
      </c>
      <c r="B3" s="79" t="s">
        <v>405</v>
      </c>
      <c r="C3" s="6">
        <v>8</v>
      </c>
      <c r="D3" s="6">
        <v>1977</v>
      </c>
      <c r="E3" s="6" t="s">
        <v>5</v>
      </c>
      <c r="F3" s="8" t="s">
        <v>6</v>
      </c>
      <c r="G3" s="9" t="s">
        <v>3</v>
      </c>
      <c r="H3" t="str">
        <f>LEFT(E3, SEARCH(",",E3)-1)</f>
        <v>IV/b</v>
      </c>
      <c r="I3">
        <v>2</v>
      </c>
      <c r="J3" t="str">
        <f t="shared" ref="J3:J66" si="0">A3</f>
        <v>IWAN SETYO PRIHATIN, SH., M.A.P</v>
      </c>
      <c r="K3" t="str">
        <f t="shared" ref="K3:K66" si="1">""&amp;B3</f>
        <v>197708311997031000</v>
      </c>
      <c r="L3" t="str">
        <f t="shared" ref="L3:L66" si="2">LEFT(RIGHT(K3, 4), 1)</f>
        <v>1</v>
      </c>
      <c r="N3">
        <v>6</v>
      </c>
      <c r="O3">
        <v>1</v>
      </c>
      <c r="P3">
        <f>INDEX(Sheet2!A:A, MATCH(F3, Sheet2!B:B, 0))</f>
        <v>2</v>
      </c>
      <c r="Q3">
        <v>1</v>
      </c>
      <c r="R3">
        <f>INDEX(Sheet3!A:A, MATCH(G3, Sheet3!B:B, 0))</f>
        <v>3</v>
      </c>
      <c r="S3" s="121" t="s">
        <v>432</v>
      </c>
      <c r="T3" t="str">
        <f t="shared" ref="T3:T66" si="3">CONCATENATE(K3, ".jpg")</f>
        <v>197708311997031000.jpg</v>
      </c>
    </row>
    <row r="4" spans="1:20" ht="15.75" x14ac:dyDescent="0.25">
      <c r="A4" s="8" t="s">
        <v>7</v>
      </c>
      <c r="B4" s="80" t="s">
        <v>349</v>
      </c>
      <c r="C4" s="6">
        <v>11</v>
      </c>
      <c r="D4" s="6">
        <v>1985</v>
      </c>
      <c r="E4" s="6" t="s">
        <v>8</v>
      </c>
      <c r="F4" s="8" t="s">
        <v>9</v>
      </c>
      <c r="G4" s="9" t="s">
        <v>3</v>
      </c>
      <c r="H4" t="str">
        <f>LEFT(E4, SEARCH(",",E4)-1)</f>
        <v>III/d</v>
      </c>
      <c r="I4">
        <v>3</v>
      </c>
      <c r="J4" t="str">
        <f t="shared" si="0"/>
        <v>ARI WIBAWA , SE, M.AP.</v>
      </c>
      <c r="K4" t="str">
        <f t="shared" si="1"/>
        <v>198511072015031001</v>
      </c>
      <c r="L4" t="str">
        <f t="shared" si="2"/>
        <v>1</v>
      </c>
      <c r="N4">
        <v>6</v>
      </c>
      <c r="O4">
        <v>1</v>
      </c>
      <c r="P4">
        <f>INDEX(Sheet2!A:A, MATCH(F4, Sheet2!B:B, 0))</f>
        <v>3</v>
      </c>
      <c r="Q4">
        <v>1</v>
      </c>
      <c r="R4">
        <f>INDEX(Sheet3!A:A, MATCH(G4, Sheet3!B:B, 0))</f>
        <v>3</v>
      </c>
      <c r="S4" s="121" t="s">
        <v>432</v>
      </c>
      <c r="T4" t="str">
        <f t="shared" si="3"/>
        <v>198511072015031001.jpg</v>
      </c>
    </row>
    <row r="5" spans="1:20" ht="15.75" x14ac:dyDescent="0.25">
      <c r="A5" s="10" t="s">
        <v>10</v>
      </c>
      <c r="B5" s="81">
        <v>1.9770107201012099E+17</v>
      </c>
      <c r="C5" s="11">
        <v>1</v>
      </c>
      <c r="D5" s="11">
        <v>1977</v>
      </c>
      <c r="E5" s="12" t="s">
        <v>11</v>
      </c>
      <c r="F5" s="13" t="s">
        <v>12</v>
      </c>
      <c r="G5" s="14" t="s">
        <v>13</v>
      </c>
      <c r="H5" t="str">
        <f>LEFT(E5, SEARCH(",",E5)-1)</f>
        <v>III/b</v>
      </c>
      <c r="I5">
        <v>4</v>
      </c>
      <c r="J5" t="str">
        <f t="shared" si="0"/>
        <v>JUMALI, S.I.P</v>
      </c>
      <c r="K5" t="str">
        <f t="shared" si="1"/>
        <v>197701072010121000</v>
      </c>
      <c r="L5" t="str">
        <f t="shared" si="2"/>
        <v>1</v>
      </c>
      <c r="N5">
        <v>6</v>
      </c>
      <c r="O5">
        <v>1</v>
      </c>
      <c r="P5">
        <f>INDEX(Sheet2!A:A, MATCH(F5, Sheet2!B:B, 0))</f>
        <v>4</v>
      </c>
      <c r="Q5">
        <v>2</v>
      </c>
      <c r="R5">
        <f>INDEX(Sheet3!A:A, MATCH(G5, Sheet3!B:B, 0))</f>
        <v>4</v>
      </c>
      <c r="S5" s="121" t="s">
        <v>432</v>
      </c>
      <c r="T5" t="str">
        <f t="shared" si="3"/>
        <v>197701072010121000.jpg</v>
      </c>
    </row>
    <row r="6" spans="1:20" ht="15.75" x14ac:dyDescent="0.25">
      <c r="A6" s="10" t="s">
        <v>14</v>
      </c>
      <c r="B6" s="81">
        <v>1.9840407200604198E+17</v>
      </c>
      <c r="C6" s="11">
        <v>4</v>
      </c>
      <c r="D6" s="11">
        <v>1984</v>
      </c>
      <c r="E6" s="12" t="s">
        <v>15</v>
      </c>
      <c r="F6" s="13" t="s">
        <v>16</v>
      </c>
      <c r="G6" s="14" t="s">
        <v>13</v>
      </c>
      <c r="H6" t="str">
        <f>LEFT(E6, SEARCH(",",E6)-1)</f>
        <v>III/d</v>
      </c>
      <c r="I6">
        <v>5</v>
      </c>
      <c r="J6" t="str">
        <f t="shared" si="0"/>
        <v>APRIYANI, SE</v>
      </c>
      <c r="K6" t="str">
        <f t="shared" si="1"/>
        <v>198404072006042000</v>
      </c>
      <c r="L6" t="str">
        <f t="shared" si="2"/>
        <v>2</v>
      </c>
      <c r="N6">
        <v>6</v>
      </c>
      <c r="O6">
        <v>1</v>
      </c>
      <c r="P6">
        <f>INDEX(Sheet2!A:A, MATCH(F6, Sheet2!B:B, 0))</f>
        <v>5</v>
      </c>
      <c r="Q6">
        <v>2</v>
      </c>
      <c r="R6">
        <f>INDEX(Sheet3!A:A, MATCH(G6, Sheet3!B:B, 0))</f>
        <v>4</v>
      </c>
      <c r="S6" s="121" t="s">
        <v>432</v>
      </c>
      <c r="T6" t="str">
        <f t="shared" si="3"/>
        <v>198404072006042000.jpg</v>
      </c>
    </row>
    <row r="7" spans="1:20" ht="15.75" x14ac:dyDescent="0.25">
      <c r="A7" s="10" t="s">
        <v>17</v>
      </c>
      <c r="B7" s="81">
        <v>1.98108162008012E+17</v>
      </c>
      <c r="C7" s="11">
        <v>8</v>
      </c>
      <c r="D7" s="11">
        <v>1981</v>
      </c>
      <c r="E7" s="6" t="s">
        <v>18</v>
      </c>
      <c r="F7" s="13" t="s">
        <v>19</v>
      </c>
      <c r="G7" s="14" t="s">
        <v>20</v>
      </c>
      <c r="H7" t="str">
        <f>LEFT(E7, SEARCH(",",E7)-1)</f>
        <v>III/c</v>
      </c>
      <c r="I7">
        <v>6</v>
      </c>
      <c r="J7" t="str">
        <f t="shared" si="0"/>
        <v>DIAN KUSUMA WARDHANI,A.Md</v>
      </c>
      <c r="K7" t="str">
        <f t="shared" si="1"/>
        <v>198108162008012000</v>
      </c>
      <c r="L7" t="str">
        <f t="shared" si="2"/>
        <v>2</v>
      </c>
      <c r="N7">
        <v>6</v>
      </c>
      <c r="O7">
        <v>1</v>
      </c>
      <c r="P7">
        <f>INDEX(Sheet2!A:A, MATCH(F7, Sheet2!B:B, 0))</f>
        <v>6</v>
      </c>
      <c r="Q7">
        <v>2</v>
      </c>
      <c r="R7">
        <f>INDEX(Sheet3!A:A, MATCH(G7, Sheet3!B:B, 0))</f>
        <v>5</v>
      </c>
      <c r="S7" s="121" t="s">
        <v>432</v>
      </c>
      <c r="T7" t="str">
        <f t="shared" si="3"/>
        <v>198108162008012000.jpg</v>
      </c>
    </row>
    <row r="8" spans="1:20" ht="15.75" x14ac:dyDescent="0.25">
      <c r="A8" s="10" t="s">
        <v>21</v>
      </c>
      <c r="B8" s="82" t="s">
        <v>350</v>
      </c>
      <c r="C8" s="11">
        <v>12</v>
      </c>
      <c r="D8" s="11">
        <v>1988</v>
      </c>
      <c r="E8" s="12" t="s">
        <v>22</v>
      </c>
      <c r="F8" s="13" t="s">
        <v>23</v>
      </c>
      <c r="G8" s="14" t="s">
        <v>3</v>
      </c>
      <c r="H8" t="str">
        <f>LEFT(E8, SEARCH(",",E8)-1)</f>
        <v>III/c</v>
      </c>
      <c r="I8">
        <v>7</v>
      </c>
      <c r="J8" t="str">
        <f t="shared" si="0"/>
        <v>DODY RAHMAT SHOLIHIN, S.IP, MPA</v>
      </c>
      <c r="K8" t="str">
        <f t="shared" si="1"/>
        <v>198812252019021002</v>
      </c>
      <c r="L8" t="str">
        <f t="shared" si="2"/>
        <v>1</v>
      </c>
      <c r="N8">
        <v>6</v>
      </c>
      <c r="O8">
        <v>1</v>
      </c>
      <c r="P8">
        <f>INDEX(Sheet2!A:A, MATCH(F8, Sheet2!B:B, 0))</f>
        <v>7</v>
      </c>
      <c r="Q8">
        <v>2</v>
      </c>
      <c r="R8">
        <f>INDEX(Sheet3!A:A, MATCH(G8, Sheet3!B:B, 0))</f>
        <v>3</v>
      </c>
      <c r="S8" s="121" t="s">
        <v>432</v>
      </c>
      <c r="T8" t="str">
        <f t="shared" si="3"/>
        <v>198812252019021002.jpg</v>
      </c>
    </row>
    <row r="9" spans="1:20" ht="15.75" x14ac:dyDescent="0.25">
      <c r="A9" s="13" t="s">
        <v>24</v>
      </c>
      <c r="B9" s="83">
        <v>1.99511302022032E+17</v>
      </c>
      <c r="C9" s="12">
        <v>11</v>
      </c>
      <c r="D9" s="12">
        <v>1995</v>
      </c>
      <c r="E9" s="12" t="s">
        <v>25</v>
      </c>
      <c r="F9" s="13" t="s">
        <v>16</v>
      </c>
      <c r="G9" s="14" t="s">
        <v>3</v>
      </c>
      <c r="H9" t="str">
        <f>LEFT(E9, SEARCH(",",E9)-1)</f>
        <v>III/b</v>
      </c>
      <c r="I9">
        <v>8</v>
      </c>
      <c r="J9" t="str">
        <f t="shared" si="0"/>
        <v>NOVANDA FATIH HARDANTI, S.Psi., M.Psi., Psikolog</v>
      </c>
      <c r="K9" t="str">
        <f t="shared" si="1"/>
        <v>199511302022032000</v>
      </c>
      <c r="L9" t="str">
        <f t="shared" si="2"/>
        <v>2</v>
      </c>
      <c r="N9">
        <v>6</v>
      </c>
      <c r="O9">
        <v>1</v>
      </c>
      <c r="P9">
        <f>INDEX(Sheet2!A:A, MATCH(F9, Sheet2!B:B, 0))</f>
        <v>5</v>
      </c>
      <c r="Q9">
        <v>2</v>
      </c>
      <c r="R9">
        <f>INDEX(Sheet3!A:A, MATCH(G9, Sheet3!B:B, 0))</f>
        <v>3</v>
      </c>
      <c r="S9" s="121" t="s">
        <v>432</v>
      </c>
      <c r="T9" t="str">
        <f t="shared" si="3"/>
        <v>199511302022032000.jpg</v>
      </c>
    </row>
    <row r="10" spans="1:20" ht="15.75" x14ac:dyDescent="0.25">
      <c r="A10" s="15" t="s">
        <v>26</v>
      </c>
      <c r="B10" s="84" t="s">
        <v>351</v>
      </c>
      <c r="C10" s="16">
        <v>6</v>
      </c>
      <c r="D10" s="16">
        <v>1991</v>
      </c>
      <c r="E10" s="12" t="s">
        <v>27</v>
      </c>
      <c r="F10" s="13" t="s">
        <v>16</v>
      </c>
      <c r="G10" s="14" t="s">
        <v>13</v>
      </c>
      <c r="H10" t="str">
        <f>LEFT(E10, SEARCH(",",E10)-1)</f>
        <v>III/b</v>
      </c>
      <c r="I10">
        <v>9</v>
      </c>
      <c r="J10" t="str">
        <f t="shared" si="0"/>
        <v>ACHID ANUGRAHANTO, S.E.</v>
      </c>
      <c r="K10" t="str">
        <f t="shared" si="1"/>
        <v>199106142020121008</v>
      </c>
      <c r="L10" t="str">
        <f t="shared" si="2"/>
        <v>1</v>
      </c>
      <c r="N10">
        <v>6</v>
      </c>
      <c r="O10">
        <v>1</v>
      </c>
      <c r="P10">
        <f>INDEX(Sheet2!A:A, MATCH(F10, Sheet2!B:B, 0))</f>
        <v>5</v>
      </c>
      <c r="Q10">
        <v>2</v>
      </c>
      <c r="R10">
        <f>INDEX(Sheet3!A:A, MATCH(G10, Sheet3!B:B, 0))</f>
        <v>4</v>
      </c>
      <c r="S10" s="121" t="s">
        <v>432</v>
      </c>
      <c r="T10" t="str">
        <f t="shared" si="3"/>
        <v>199106142020121008.jpg</v>
      </c>
    </row>
    <row r="11" spans="1:20" ht="15.75" x14ac:dyDescent="0.25">
      <c r="A11" s="13" t="s">
        <v>28</v>
      </c>
      <c r="B11" s="85" t="s">
        <v>352</v>
      </c>
      <c r="C11" s="12">
        <v>7</v>
      </c>
      <c r="D11" s="12">
        <v>1984</v>
      </c>
      <c r="E11" s="12" t="s">
        <v>29</v>
      </c>
      <c r="F11" s="13" t="s">
        <v>30</v>
      </c>
      <c r="G11" s="14" t="s">
        <v>13</v>
      </c>
      <c r="H11" t="str">
        <f>LEFT(E11, SEARCH(",",E11)-1)</f>
        <v>III/b</v>
      </c>
      <c r="I11">
        <v>10</v>
      </c>
      <c r="J11" t="str">
        <f t="shared" si="0"/>
        <v>RADEN RARA FITRI WIKANDARI, S.I.Kom.</v>
      </c>
      <c r="K11" t="str">
        <f t="shared" si="1"/>
        <v>198407092015032002</v>
      </c>
      <c r="L11" t="str">
        <f t="shared" si="2"/>
        <v>2</v>
      </c>
      <c r="N11">
        <v>6</v>
      </c>
      <c r="O11">
        <v>1</v>
      </c>
      <c r="P11">
        <f>INDEX(Sheet2!A:A, MATCH(F11, Sheet2!B:B, 0))</f>
        <v>8</v>
      </c>
      <c r="Q11">
        <v>2</v>
      </c>
      <c r="R11">
        <f>INDEX(Sheet3!A:A, MATCH(G11, Sheet3!B:B, 0))</f>
        <v>4</v>
      </c>
      <c r="S11" s="121" t="s">
        <v>432</v>
      </c>
      <c r="T11" t="str">
        <f t="shared" si="3"/>
        <v>198407092015032002.jpg</v>
      </c>
    </row>
    <row r="12" spans="1:20" ht="15.75" x14ac:dyDescent="0.25">
      <c r="A12" s="10" t="s">
        <v>31</v>
      </c>
      <c r="B12" s="81">
        <v>1.9770323200801101E+17</v>
      </c>
      <c r="C12" s="11">
        <v>1</v>
      </c>
      <c r="D12" s="11">
        <v>1977</v>
      </c>
      <c r="E12" s="12" t="s">
        <v>32</v>
      </c>
      <c r="F12" s="13" t="s">
        <v>33</v>
      </c>
      <c r="G12" s="14" t="s">
        <v>13</v>
      </c>
      <c r="H12" t="str">
        <f>LEFT(E12, SEARCH(",",E12)-1)</f>
        <v>III/d</v>
      </c>
      <c r="I12">
        <v>11</v>
      </c>
      <c r="J12" t="str">
        <f t="shared" si="0"/>
        <v>VICTORRIANUS BAGUS WINDA KURINIAWAN, S.Si.</v>
      </c>
      <c r="K12" t="str">
        <f t="shared" si="1"/>
        <v>197703232008011000</v>
      </c>
      <c r="L12" t="str">
        <f t="shared" si="2"/>
        <v>1</v>
      </c>
      <c r="N12">
        <v>6</v>
      </c>
      <c r="O12">
        <v>1</v>
      </c>
      <c r="P12">
        <f>INDEX(Sheet2!A:A, MATCH(F12, Sheet2!B:B, 0))</f>
        <v>9</v>
      </c>
      <c r="Q12">
        <v>2</v>
      </c>
      <c r="R12">
        <f>INDEX(Sheet3!A:A, MATCH(G12, Sheet3!B:B, 0))</f>
        <v>4</v>
      </c>
      <c r="S12" s="121" t="s">
        <v>432</v>
      </c>
      <c r="T12" t="str">
        <f t="shared" si="3"/>
        <v>197703232008011000.jpg</v>
      </c>
    </row>
    <row r="13" spans="1:20" ht="16.5" customHeight="1" x14ac:dyDescent="0.25">
      <c r="A13" s="10" t="s">
        <v>34</v>
      </c>
      <c r="B13" s="86">
        <v>1.9950809202012099E+17</v>
      </c>
      <c r="C13" s="11">
        <v>8</v>
      </c>
      <c r="D13" s="11">
        <v>1995</v>
      </c>
      <c r="E13" s="12" t="s">
        <v>27</v>
      </c>
      <c r="F13" s="18" t="s">
        <v>35</v>
      </c>
      <c r="G13" s="14" t="s">
        <v>13</v>
      </c>
      <c r="H13" t="str">
        <f>LEFT(E13, SEARCH(",",E13)-1)</f>
        <v>III/b</v>
      </c>
      <c r="I13">
        <v>12</v>
      </c>
      <c r="J13" t="str">
        <f t="shared" si="0"/>
        <v>MUHAMMAD ROBI SETIAWAN, S.AB.</v>
      </c>
      <c r="K13" t="str">
        <f t="shared" si="1"/>
        <v>199508092020121000</v>
      </c>
      <c r="L13" t="str">
        <f t="shared" si="2"/>
        <v>1</v>
      </c>
      <c r="N13">
        <v>6</v>
      </c>
      <c r="O13">
        <v>1</v>
      </c>
      <c r="P13">
        <f>INDEX(Sheet2!A:A, MATCH(F13, Sheet2!B:B, 0))</f>
        <v>10</v>
      </c>
      <c r="Q13">
        <v>2</v>
      </c>
      <c r="R13">
        <f>INDEX(Sheet3!A:A, MATCH(G13, Sheet3!B:B, 0))</f>
        <v>4</v>
      </c>
      <c r="S13" s="121" t="s">
        <v>432</v>
      </c>
      <c r="T13" t="str">
        <f t="shared" si="3"/>
        <v>199508092020121000.jpg</v>
      </c>
    </row>
    <row r="14" spans="1:20" ht="15.75" x14ac:dyDescent="0.25">
      <c r="A14" s="8" t="s">
        <v>36</v>
      </c>
      <c r="B14" s="87">
        <v>1.9780422200604198E+17</v>
      </c>
      <c r="C14" s="6">
        <v>4</v>
      </c>
      <c r="D14" s="6">
        <v>1978</v>
      </c>
      <c r="E14" s="6" t="s">
        <v>8</v>
      </c>
      <c r="F14" s="8" t="s">
        <v>37</v>
      </c>
      <c r="G14" s="9" t="s">
        <v>13</v>
      </c>
      <c r="H14" t="str">
        <f>LEFT(E14, SEARCH(",",E14)-1)</f>
        <v>III/d</v>
      </c>
      <c r="I14">
        <v>13</v>
      </c>
      <c r="J14" t="str">
        <f t="shared" si="0"/>
        <v>NINIK SETYORINI, SE</v>
      </c>
      <c r="K14" t="str">
        <f t="shared" si="1"/>
        <v>197804222006042000</v>
      </c>
      <c r="L14" t="str">
        <f t="shared" si="2"/>
        <v>2</v>
      </c>
      <c r="N14">
        <v>6</v>
      </c>
      <c r="O14">
        <v>1</v>
      </c>
      <c r="P14">
        <f>INDEX(Sheet2!A:A, MATCH(F14, Sheet2!B:B, 0))</f>
        <v>11</v>
      </c>
      <c r="Q14">
        <v>2</v>
      </c>
      <c r="R14">
        <f>INDEX(Sheet3!A:A, MATCH(G14, Sheet3!B:B, 0))</f>
        <v>4</v>
      </c>
      <c r="S14" s="121" t="s">
        <v>432</v>
      </c>
      <c r="T14" t="str">
        <f t="shared" si="3"/>
        <v>197804222006042000.jpg</v>
      </c>
    </row>
    <row r="15" spans="1:20" ht="15.75" x14ac:dyDescent="0.25">
      <c r="A15" s="10" t="s">
        <v>38</v>
      </c>
      <c r="B15" s="84" t="s">
        <v>353</v>
      </c>
      <c r="C15" s="16">
        <v>10</v>
      </c>
      <c r="D15" s="20" t="s">
        <v>39</v>
      </c>
      <c r="E15" s="12" t="s">
        <v>40</v>
      </c>
      <c r="F15" s="13" t="s">
        <v>41</v>
      </c>
      <c r="G15" s="14" t="s">
        <v>13</v>
      </c>
      <c r="H15" t="str">
        <f>LEFT(E15, SEARCH(",",E15)-1)</f>
        <v>III/b</v>
      </c>
      <c r="I15">
        <v>14</v>
      </c>
      <c r="J15" t="str">
        <f t="shared" si="0"/>
        <v>VIVILIA KUSUMA JAYANTIE BASUKI, S.E., M.M.</v>
      </c>
      <c r="K15" t="str">
        <f t="shared" si="1"/>
        <v>198510182014022003</v>
      </c>
      <c r="L15" t="str">
        <f t="shared" si="2"/>
        <v>2</v>
      </c>
      <c r="N15">
        <v>6</v>
      </c>
      <c r="O15">
        <v>1</v>
      </c>
      <c r="P15">
        <f>INDEX(Sheet2!A:A, MATCH(F15, Sheet2!B:B, 0))</f>
        <v>12</v>
      </c>
      <c r="Q15">
        <v>2</v>
      </c>
      <c r="R15">
        <f>INDEX(Sheet3!A:A, MATCH(G15, Sheet3!B:B, 0))</f>
        <v>4</v>
      </c>
      <c r="S15" s="121" t="s">
        <v>432</v>
      </c>
      <c r="T15" t="str">
        <f t="shared" si="3"/>
        <v>198510182014022003.jpg</v>
      </c>
    </row>
    <row r="16" spans="1:20" ht="15.75" x14ac:dyDescent="0.25">
      <c r="A16" s="10" t="s">
        <v>42</v>
      </c>
      <c r="B16" s="88">
        <v>1.98405202015032E+17</v>
      </c>
      <c r="C16" s="22">
        <v>5</v>
      </c>
      <c r="D16" s="22">
        <v>1984</v>
      </c>
      <c r="E16" s="12" t="s">
        <v>43</v>
      </c>
      <c r="F16" s="13" t="s">
        <v>16</v>
      </c>
      <c r="G16" s="14" t="s">
        <v>13</v>
      </c>
      <c r="H16" t="str">
        <f>LEFT(E16, SEARCH(",",E16)-1)</f>
        <v>III/c</v>
      </c>
      <c r="I16">
        <v>15</v>
      </c>
      <c r="J16" t="str">
        <f t="shared" si="0"/>
        <v>DIYAH RACHMAWATI HASMAMY, SE</v>
      </c>
      <c r="K16" t="str">
        <f t="shared" si="1"/>
        <v>198405202015032000</v>
      </c>
      <c r="L16" t="str">
        <f t="shared" si="2"/>
        <v>2</v>
      </c>
      <c r="N16">
        <v>6</v>
      </c>
      <c r="O16">
        <v>1</v>
      </c>
      <c r="P16">
        <f>INDEX(Sheet2!A:A, MATCH(F16, Sheet2!B:B, 0))</f>
        <v>5</v>
      </c>
      <c r="Q16">
        <v>2</v>
      </c>
      <c r="R16">
        <f>INDEX(Sheet3!A:A, MATCH(G16, Sheet3!B:B, 0))</f>
        <v>4</v>
      </c>
      <c r="S16" s="121" t="s">
        <v>432</v>
      </c>
      <c r="T16" t="str">
        <f t="shared" si="3"/>
        <v>198405202015032000.jpg</v>
      </c>
    </row>
    <row r="17" spans="1:20" ht="15.75" x14ac:dyDescent="0.25">
      <c r="A17" s="10" t="s">
        <v>44</v>
      </c>
      <c r="B17" s="89" t="s">
        <v>354</v>
      </c>
      <c r="C17" s="22">
        <v>7</v>
      </c>
      <c r="D17" s="22">
        <v>1975</v>
      </c>
      <c r="E17" s="12" t="s">
        <v>45</v>
      </c>
      <c r="F17" s="13" t="s">
        <v>46</v>
      </c>
      <c r="G17" s="14" t="s">
        <v>3</v>
      </c>
      <c r="H17" t="str">
        <f>LEFT(E17, SEARCH(",",E17)-1)</f>
        <v>IV/a</v>
      </c>
      <c r="I17">
        <v>16</v>
      </c>
      <c r="J17" t="str">
        <f t="shared" si="0"/>
        <v>RETNO MILIASIH, S.E., M.E.</v>
      </c>
      <c r="K17" t="str">
        <f t="shared" si="1"/>
        <v>197507212006042001</v>
      </c>
      <c r="L17" t="str">
        <f t="shared" si="2"/>
        <v>2</v>
      </c>
      <c r="N17">
        <v>6</v>
      </c>
      <c r="O17">
        <v>1</v>
      </c>
      <c r="P17">
        <f>INDEX(Sheet2!A:A, MATCH(F17, Sheet2!B:B, 0))</f>
        <v>13</v>
      </c>
      <c r="Q17">
        <v>2</v>
      </c>
      <c r="R17">
        <f>INDEX(Sheet3!A:A, MATCH(G17, Sheet3!B:B, 0))</f>
        <v>3</v>
      </c>
      <c r="S17" s="121" t="s">
        <v>432</v>
      </c>
      <c r="T17" t="str">
        <f t="shared" si="3"/>
        <v>197507212006042001.jpg</v>
      </c>
    </row>
    <row r="18" spans="1:20" ht="15.75" x14ac:dyDescent="0.25">
      <c r="A18" s="10" t="s">
        <v>47</v>
      </c>
      <c r="B18" s="89" t="s">
        <v>355</v>
      </c>
      <c r="C18" s="22">
        <v>7</v>
      </c>
      <c r="D18" s="22">
        <v>1983</v>
      </c>
      <c r="E18" s="12" t="s">
        <v>48</v>
      </c>
      <c r="F18" s="13" t="s">
        <v>49</v>
      </c>
      <c r="G18" s="14" t="s">
        <v>13</v>
      </c>
      <c r="H18" t="str">
        <f>LEFT(E18, SEARCH(",",E18)-1)</f>
        <v>III/c</v>
      </c>
      <c r="I18">
        <v>17</v>
      </c>
      <c r="J18" t="str">
        <f t="shared" si="0"/>
        <v>RIAN USMAWATI, S.E.</v>
      </c>
      <c r="K18" t="str">
        <f t="shared" si="1"/>
        <v>198306062015032002</v>
      </c>
      <c r="L18" t="str">
        <f t="shared" si="2"/>
        <v>2</v>
      </c>
      <c r="N18">
        <v>6</v>
      </c>
      <c r="O18">
        <v>1</v>
      </c>
      <c r="P18">
        <f>INDEX(Sheet2!A:A, MATCH(F18, Sheet2!B:B, 0))</f>
        <v>14</v>
      </c>
      <c r="Q18">
        <v>2</v>
      </c>
      <c r="R18">
        <f>INDEX(Sheet3!A:A, MATCH(G18, Sheet3!B:B, 0))</f>
        <v>4</v>
      </c>
      <c r="S18" s="121" t="s">
        <v>432</v>
      </c>
      <c r="T18" t="str">
        <f t="shared" si="3"/>
        <v>198306062015032002.jpg</v>
      </c>
    </row>
    <row r="19" spans="1:20" ht="15.75" x14ac:dyDescent="0.25">
      <c r="A19" s="13" t="s">
        <v>50</v>
      </c>
      <c r="B19" s="81">
        <v>1.98606262008012E+17</v>
      </c>
      <c r="C19" s="11">
        <v>6</v>
      </c>
      <c r="D19" s="11">
        <v>1986</v>
      </c>
      <c r="E19" s="12" t="s">
        <v>51</v>
      </c>
      <c r="F19" s="13" t="s">
        <v>52</v>
      </c>
      <c r="G19" s="14" t="s">
        <v>13</v>
      </c>
      <c r="H19" t="str">
        <f>LEFT(E19, SEARCH(",",E19)-1)</f>
        <v>III/c</v>
      </c>
      <c r="I19">
        <v>18</v>
      </c>
      <c r="J19" t="str">
        <f t="shared" si="0"/>
        <v>EVI RISTIANA, SE</v>
      </c>
      <c r="K19" t="str">
        <f t="shared" si="1"/>
        <v>198606262008012000</v>
      </c>
      <c r="L19" t="str">
        <f t="shared" si="2"/>
        <v>2</v>
      </c>
      <c r="N19">
        <v>6</v>
      </c>
      <c r="O19">
        <v>1</v>
      </c>
      <c r="P19">
        <f>INDEX(Sheet2!A:A, MATCH(F19, Sheet2!B:B, 0))</f>
        <v>15</v>
      </c>
      <c r="Q19">
        <v>2</v>
      </c>
      <c r="R19">
        <f>INDEX(Sheet3!A:A, MATCH(G19, Sheet3!B:B, 0))</f>
        <v>4</v>
      </c>
      <c r="S19" s="121" t="s">
        <v>432</v>
      </c>
      <c r="T19" t="str">
        <f t="shared" si="3"/>
        <v>198606262008012000.jpg</v>
      </c>
    </row>
    <row r="20" spans="1:20" ht="15.75" x14ac:dyDescent="0.25">
      <c r="A20" s="13" t="s">
        <v>53</v>
      </c>
      <c r="B20" s="85" t="s">
        <v>356</v>
      </c>
      <c r="C20" s="12">
        <v>2</v>
      </c>
      <c r="D20" s="12">
        <v>1993</v>
      </c>
      <c r="E20" s="12" t="s">
        <v>54</v>
      </c>
      <c r="F20" s="13" t="s">
        <v>16</v>
      </c>
      <c r="G20" s="14" t="s">
        <v>3</v>
      </c>
      <c r="H20" t="str">
        <f>LEFT(E20, SEARCH(",",E20)-1)</f>
        <v>III/b</v>
      </c>
      <c r="I20">
        <v>19</v>
      </c>
      <c r="J20" t="str">
        <f t="shared" si="0"/>
        <v>FERA TRESNAWATI, M. Acc.</v>
      </c>
      <c r="K20" t="str">
        <f t="shared" si="1"/>
        <v>199302202020122004</v>
      </c>
      <c r="L20" t="str">
        <f t="shared" si="2"/>
        <v>2</v>
      </c>
      <c r="N20">
        <v>6</v>
      </c>
      <c r="O20">
        <v>1</v>
      </c>
      <c r="P20">
        <f>INDEX(Sheet2!A:A, MATCH(F20, Sheet2!B:B, 0))</f>
        <v>5</v>
      </c>
      <c r="Q20">
        <v>2</v>
      </c>
      <c r="R20">
        <f>INDEX(Sheet3!A:A, MATCH(G20, Sheet3!B:B, 0))</f>
        <v>3</v>
      </c>
      <c r="S20" s="121" t="s">
        <v>432</v>
      </c>
      <c r="T20" t="str">
        <f t="shared" si="3"/>
        <v>199302202020122004.jpg</v>
      </c>
    </row>
    <row r="21" spans="1:20" ht="15.75" x14ac:dyDescent="0.25">
      <c r="A21" s="23" t="s">
        <v>55</v>
      </c>
      <c r="B21" s="85" t="s">
        <v>357</v>
      </c>
      <c r="C21" s="12">
        <v>3</v>
      </c>
      <c r="D21" s="12">
        <v>1989</v>
      </c>
      <c r="E21" s="12" t="s">
        <v>56</v>
      </c>
      <c r="F21" s="13" t="s">
        <v>16</v>
      </c>
      <c r="G21" s="14" t="s">
        <v>13</v>
      </c>
      <c r="H21" t="str">
        <f>LEFT(E21, SEARCH(",",E21)-1)</f>
        <v>III/b</v>
      </c>
      <c r="I21">
        <v>20</v>
      </c>
      <c r="J21" t="str">
        <f t="shared" si="0"/>
        <v>HANDRIAN RAHMADANA, S.I.P</v>
      </c>
      <c r="K21" t="str">
        <f t="shared" si="1"/>
        <v>198903042022031003</v>
      </c>
      <c r="L21" t="str">
        <f t="shared" si="2"/>
        <v>1</v>
      </c>
      <c r="N21">
        <v>6</v>
      </c>
      <c r="O21">
        <v>1</v>
      </c>
      <c r="P21">
        <f>INDEX(Sheet2!A:A, MATCH(F21, Sheet2!B:B, 0))</f>
        <v>5</v>
      </c>
      <c r="Q21">
        <v>2</v>
      </c>
      <c r="R21">
        <f>INDEX(Sheet3!A:A, MATCH(G21, Sheet3!B:B, 0))</f>
        <v>4</v>
      </c>
      <c r="S21" s="121" t="s">
        <v>432</v>
      </c>
      <c r="T21" t="str">
        <f t="shared" si="3"/>
        <v>198903042022031003.jpg</v>
      </c>
    </row>
    <row r="22" spans="1:20" ht="15.75" x14ac:dyDescent="0.25">
      <c r="A22" s="13" t="s">
        <v>57</v>
      </c>
      <c r="B22" s="85" t="s">
        <v>358</v>
      </c>
      <c r="C22" s="12">
        <v>6</v>
      </c>
      <c r="D22" s="12">
        <v>2000</v>
      </c>
      <c r="E22" s="12" t="s">
        <v>58</v>
      </c>
      <c r="F22" s="13" t="s">
        <v>16</v>
      </c>
      <c r="G22" s="14" t="s">
        <v>20</v>
      </c>
      <c r="H22" t="str">
        <f>LEFT(E22, SEARCH(",",E22)-1)</f>
        <v>II/d</v>
      </c>
      <c r="I22">
        <v>21</v>
      </c>
      <c r="J22" t="str">
        <f t="shared" si="0"/>
        <v>AULIA TRI HASTUTI WULANDARI, A.Md.Kb.N</v>
      </c>
      <c r="K22" t="str">
        <f t="shared" si="1"/>
        <v>200006152022022001</v>
      </c>
      <c r="L22" t="str">
        <f t="shared" si="2"/>
        <v>2</v>
      </c>
      <c r="N22">
        <v>6</v>
      </c>
      <c r="O22">
        <v>1</v>
      </c>
      <c r="P22">
        <f>INDEX(Sheet2!A:A, MATCH(F22, Sheet2!B:B, 0))</f>
        <v>5</v>
      </c>
      <c r="Q22">
        <v>2</v>
      </c>
      <c r="R22">
        <f>INDEX(Sheet3!A:A, MATCH(G22, Sheet3!B:B, 0))</f>
        <v>5</v>
      </c>
      <c r="S22" s="121" t="s">
        <v>432</v>
      </c>
      <c r="T22" t="str">
        <f t="shared" si="3"/>
        <v>200006152022022001.jpg</v>
      </c>
    </row>
    <row r="23" spans="1:20" ht="15.75" x14ac:dyDescent="0.25">
      <c r="A23" s="13" t="s">
        <v>59</v>
      </c>
      <c r="B23" s="85" t="s">
        <v>359</v>
      </c>
      <c r="C23" s="12">
        <v>4</v>
      </c>
      <c r="D23" s="12">
        <v>1980</v>
      </c>
      <c r="E23" s="12" t="s">
        <v>60</v>
      </c>
      <c r="F23" s="13" t="s">
        <v>61</v>
      </c>
      <c r="G23" s="14" t="s">
        <v>13</v>
      </c>
      <c r="H23" t="str">
        <f>LEFT(E23, SEARCH(",",E23)-1)</f>
        <v>III/c</v>
      </c>
      <c r="I23">
        <v>22</v>
      </c>
      <c r="J23" t="str">
        <f t="shared" si="0"/>
        <v>SUHERI WIDOYOKO, SE</v>
      </c>
      <c r="K23" t="str">
        <f t="shared" si="1"/>
        <v>198004202015031002</v>
      </c>
      <c r="L23" t="str">
        <f t="shared" si="2"/>
        <v>1</v>
      </c>
      <c r="N23">
        <v>6</v>
      </c>
      <c r="O23">
        <v>1</v>
      </c>
      <c r="P23">
        <f>INDEX(Sheet2!A:A, MATCH(F23, Sheet2!B:B, 0))</f>
        <v>16</v>
      </c>
      <c r="Q23">
        <v>2</v>
      </c>
      <c r="R23">
        <f>INDEX(Sheet3!A:A, MATCH(G23, Sheet3!B:B, 0))</f>
        <v>4</v>
      </c>
      <c r="S23" s="121" t="s">
        <v>432</v>
      </c>
      <c r="T23" t="str">
        <f t="shared" si="3"/>
        <v>198004202015031002.jpg</v>
      </c>
    </row>
    <row r="24" spans="1:20" ht="15.75" x14ac:dyDescent="0.25">
      <c r="A24" s="21" t="s">
        <v>62</v>
      </c>
      <c r="B24" s="90">
        <v>2.0001009202202202E+17</v>
      </c>
      <c r="C24" s="24">
        <v>3</v>
      </c>
      <c r="D24" s="12">
        <v>2000</v>
      </c>
      <c r="E24" s="12" t="s">
        <v>63</v>
      </c>
      <c r="F24" s="13" t="s">
        <v>33</v>
      </c>
      <c r="G24" s="14" t="s">
        <v>20</v>
      </c>
      <c r="H24" t="str">
        <f>E24</f>
        <v xml:space="preserve"> II/c</v>
      </c>
      <c r="I24">
        <v>23</v>
      </c>
      <c r="J24" t="str">
        <f t="shared" si="0"/>
        <v>ALIFVIA SEZA FITRIANA, A.Md.Kb.N.</v>
      </c>
      <c r="K24" t="str">
        <f t="shared" si="1"/>
        <v>200010092022022000</v>
      </c>
      <c r="L24" t="str">
        <f t="shared" si="2"/>
        <v>2</v>
      </c>
      <c r="N24">
        <v>6</v>
      </c>
      <c r="O24">
        <v>1</v>
      </c>
      <c r="P24">
        <f>INDEX(Sheet2!A:A, MATCH(F24, Sheet2!B:B, 0))</f>
        <v>9</v>
      </c>
      <c r="Q24">
        <v>2</v>
      </c>
      <c r="R24">
        <f>INDEX(Sheet3!A:A, MATCH(G24, Sheet3!B:B, 0))</f>
        <v>5</v>
      </c>
      <c r="S24" s="121" t="s">
        <v>432</v>
      </c>
      <c r="T24" t="str">
        <f t="shared" si="3"/>
        <v>200010092022022000.jpg</v>
      </c>
    </row>
    <row r="25" spans="1:20" ht="15.75" x14ac:dyDescent="0.25">
      <c r="A25" s="13" t="s">
        <v>64</v>
      </c>
      <c r="B25" s="85" t="s">
        <v>360</v>
      </c>
      <c r="C25" s="12">
        <v>2</v>
      </c>
      <c r="D25" s="12">
        <v>1990</v>
      </c>
      <c r="E25" s="12" t="s">
        <v>65</v>
      </c>
      <c r="F25" s="13" t="s">
        <v>66</v>
      </c>
      <c r="G25" s="14" t="s">
        <v>20</v>
      </c>
      <c r="H25" t="str">
        <f>E25</f>
        <v>VII</v>
      </c>
      <c r="I25">
        <v>24</v>
      </c>
      <c r="J25" t="str">
        <f t="shared" si="0"/>
        <v>SUNARKO, A.Md.Pas.</v>
      </c>
      <c r="K25" t="str">
        <f t="shared" si="1"/>
        <v>199002272023211017</v>
      </c>
      <c r="L25" t="str">
        <f t="shared" si="2"/>
        <v>1</v>
      </c>
      <c r="N25">
        <v>6</v>
      </c>
      <c r="O25">
        <v>2</v>
      </c>
      <c r="P25">
        <f>INDEX(Sheet2!A:A, MATCH(F25, Sheet2!B:B, 0))</f>
        <v>17</v>
      </c>
      <c r="Q25">
        <v>2</v>
      </c>
      <c r="R25">
        <f>INDEX(Sheet3!A:A, MATCH(G25, Sheet3!B:B, 0))</f>
        <v>5</v>
      </c>
      <c r="S25" s="121" t="s">
        <v>432</v>
      </c>
      <c r="T25" t="str">
        <f t="shared" si="3"/>
        <v>199002272023211017.jpg</v>
      </c>
    </row>
    <row r="26" spans="1:20" ht="15.75" x14ac:dyDescent="0.25">
      <c r="A26" s="27" t="s">
        <v>67</v>
      </c>
      <c r="B26" s="91">
        <v>1.9730217199902099E+17</v>
      </c>
      <c r="C26" s="26">
        <v>2</v>
      </c>
      <c r="D26" s="26">
        <v>1973</v>
      </c>
      <c r="E26" s="26" t="s">
        <v>68</v>
      </c>
      <c r="F26" s="27" t="s">
        <v>69</v>
      </c>
      <c r="G26" s="28" t="s">
        <v>13</v>
      </c>
      <c r="H26" t="str">
        <f>LEFT(E26, SEARCH(",",E26)-1)</f>
        <v>III/c</v>
      </c>
      <c r="I26">
        <v>25</v>
      </c>
      <c r="J26" t="str">
        <f t="shared" si="0"/>
        <v>GUNAWAN, S.IP.</v>
      </c>
      <c r="K26" t="str">
        <f t="shared" si="1"/>
        <v>197302171999021000</v>
      </c>
      <c r="L26" t="str">
        <f t="shared" si="2"/>
        <v>1</v>
      </c>
      <c r="N26">
        <v>6</v>
      </c>
      <c r="O26">
        <v>1</v>
      </c>
      <c r="P26">
        <f>INDEX(Sheet2!A:A, MATCH(F26, Sheet2!B:B, 0))</f>
        <v>18</v>
      </c>
      <c r="Q26">
        <v>1</v>
      </c>
      <c r="R26">
        <f>INDEX(Sheet3!A:A, MATCH(G26, Sheet3!B:B, 0))</f>
        <v>4</v>
      </c>
      <c r="S26" s="121" t="s">
        <v>432</v>
      </c>
      <c r="T26" t="str">
        <f t="shared" si="3"/>
        <v>197302171999021000.jpg</v>
      </c>
    </row>
    <row r="27" spans="1:20" ht="15.75" x14ac:dyDescent="0.25">
      <c r="A27" s="30" t="s">
        <v>70</v>
      </c>
      <c r="B27" s="92">
        <v>1.98605102018012E+17</v>
      </c>
      <c r="C27" s="31">
        <v>5</v>
      </c>
      <c r="D27" s="31">
        <v>1986</v>
      </c>
      <c r="E27" s="29" t="s">
        <v>71</v>
      </c>
      <c r="F27" s="32" t="s">
        <v>72</v>
      </c>
      <c r="G27" s="33" t="s">
        <v>13</v>
      </c>
      <c r="H27" t="str">
        <f>E27</f>
        <v>III/b</v>
      </c>
      <c r="I27">
        <v>26</v>
      </c>
      <c r="J27" t="str">
        <f t="shared" si="0"/>
        <v>SOFIKA WAHDANI WIJAYANTI, S.Sn.</v>
      </c>
      <c r="K27" t="str">
        <f t="shared" si="1"/>
        <v>198605102018012000</v>
      </c>
      <c r="L27" t="str">
        <f t="shared" si="2"/>
        <v>2</v>
      </c>
      <c r="N27">
        <v>6</v>
      </c>
      <c r="O27">
        <v>5</v>
      </c>
      <c r="P27">
        <f>INDEX(Sheet2!A:A, MATCH(F27, Sheet2!B:B, 0))</f>
        <v>19</v>
      </c>
      <c r="Q27">
        <v>2</v>
      </c>
      <c r="R27">
        <f>INDEX(Sheet3!A:A, MATCH(G27, Sheet3!B:B, 0))</f>
        <v>4</v>
      </c>
      <c r="S27" s="121" t="s">
        <v>432</v>
      </c>
      <c r="T27" t="str">
        <f t="shared" si="3"/>
        <v>198605102018012000.jpg</v>
      </c>
    </row>
    <row r="28" spans="1:20" ht="15.75" x14ac:dyDescent="0.25">
      <c r="A28" s="10" t="s">
        <v>73</v>
      </c>
      <c r="B28" s="81">
        <v>1.9790706200212099E+17</v>
      </c>
      <c r="C28" s="11">
        <v>7</v>
      </c>
      <c r="D28" s="11">
        <v>1979</v>
      </c>
      <c r="E28" s="12" t="s">
        <v>74</v>
      </c>
      <c r="F28" s="13" t="s">
        <v>75</v>
      </c>
      <c r="G28" s="14" t="s">
        <v>76</v>
      </c>
      <c r="H28" t="str">
        <f>LEFT(E28, SEARCH(",",E28)-1)</f>
        <v>III/b</v>
      </c>
      <c r="I28">
        <v>27</v>
      </c>
      <c r="J28" t="str">
        <f t="shared" si="0"/>
        <v>MAJID SETIYAWAN</v>
      </c>
      <c r="K28" t="str">
        <f t="shared" si="1"/>
        <v>197907062002121000</v>
      </c>
      <c r="L28" t="str">
        <f t="shared" si="2"/>
        <v>1</v>
      </c>
      <c r="N28">
        <v>6</v>
      </c>
      <c r="O28">
        <v>1</v>
      </c>
      <c r="P28">
        <f>INDEX(Sheet2!A:A, MATCH(F28, Sheet2!B:B, 0))</f>
        <v>20</v>
      </c>
      <c r="Q28">
        <v>2</v>
      </c>
      <c r="R28">
        <f>INDEX(Sheet3!A:A, MATCH(G28, Sheet3!B:B, 0))</f>
        <v>6</v>
      </c>
      <c r="S28" s="121" t="s">
        <v>432</v>
      </c>
      <c r="T28" t="str">
        <f t="shared" si="3"/>
        <v>197907062002121000.jpg</v>
      </c>
    </row>
    <row r="29" spans="1:20" ht="15.75" x14ac:dyDescent="0.25">
      <c r="A29" s="10" t="s">
        <v>77</v>
      </c>
      <c r="B29" s="81">
        <v>1.9850709200912099E+17</v>
      </c>
      <c r="C29" s="11">
        <v>7</v>
      </c>
      <c r="D29" s="11">
        <v>1985</v>
      </c>
      <c r="E29" s="12" t="s">
        <v>78</v>
      </c>
      <c r="F29" s="13" t="s">
        <v>75</v>
      </c>
      <c r="G29" s="14" t="s">
        <v>20</v>
      </c>
      <c r="H29" t="str">
        <f>LEFT(E29, SEARCH(",",E29)-1)</f>
        <v>III/c</v>
      </c>
      <c r="I29">
        <v>28</v>
      </c>
      <c r="J29" t="str">
        <f t="shared" si="0"/>
        <v>RIA GUNAWAN, A.Md</v>
      </c>
      <c r="K29" t="str">
        <f t="shared" si="1"/>
        <v>198507092009121000</v>
      </c>
      <c r="L29" t="str">
        <f t="shared" si="2"/>
        <v>1</v>
      </c>
      <c r="N29">
        <v>6</v>
      </c>
      <c r="O29">
        <v>1</v>
      </c>
      <c r="P29">
        <f>INDEX(Sheet2!A:A, MATCH(F29, Sheet2!B:B, 0))</f>
        <v>20</v>
      </c>
      <c r="Q29">
        <v>2</v>
      </c>
      <c r="R29">
        <f>INDEX(Sheet3!A:A, MATCH(G29, Sheet3!B:B, 0))</f>
        <v>5</v>
      </c>
      <c r="S29" s="121" t="s">
        <v>432</v>
      </c>
      <c r="T29" t="str">
        <f t="shared" si="3"/>
        <v>198507092009121000.jpg</v>
      </c>
    </row>
    <row r="30" spans="1:20" ht="15.75" x14ac:dyDescent="0.25">
      <c r="A30" s="10" t="s">
        <v>79</v>
      </c>
      <c r="B30" s="82" t="s">
        <v>361</v>
      </c>
      <c r="C30" s="11">
        <v>9</v>
      </c>
      <c r="D30" s="11">
        <v>1990</v>
      </c>
      <c r="E30" s="12" t="s">
        <v>80</v>
      </c>
      <c r="F30" s="13" t="s">
        <v>81</v>
      </c>
      <c r="G30" s="14" t="s">
        <v>13</v>
      </c>
      <c r="H30" t="str">
        <f>LEFT(E30, SEARCH(",",E30)-1)</f>
        <v>III/b</v>
      </c>
      <c r="I30">
        <v>29</v>
      </c>
      <c r="J30" t="str">
        <f t="shared" si="0"/>
        <v>HANUM SOFIA NUR MERJANTI, S.IP</v>
      </c>
      <c r="K30" t="str">
        <f t="shared" si="1"/>
        <v>199009232019022004</v>
      </c>
      <c r="L30" t="str">
        <f t="shared" si="2"/>
        <v>2</v>
      </c>
      <c r="N30">
        <v>6</v>
      </c>
      <c r="O30">
        <v>1</v>
      </c>
      <c r="P30">
        <f>INDEX(Sheet2!A:A, MATCH(F30, Sheet2!B:B, 0))</f>
        <v>21</v>
      </c>
      <c r="Q30">
        <v>2</v>
      </c>
      <c r="R30">
        <f>INDEX(Sheet3!A:A, MATCH(G30, Sheet3!B:B, 0))</f>
        <v>4</v>
      </c>
      <c r="S30" s="121" t="s">
        <v>432</v>
      </c>
      <c r="T30" t="str">
        <f t="shared" si="3"/>
        <v>199009232019022004.jpg</v>
      </c>
    </row>
    <row r="31" spans="1:20" ht="15.75" x14ac:dyDescent="0.25">
      <c r="A31" s="10" t="s">
        <v>82</v>
      </c>
      <c r="B31" s="93">
        <v>1.9920515201402202E+17</v>
      </c>
      <c r="C31" s="12">
        <v>5</v>
      </c>
      <c r="D31" s="12">
        <v>1992</v>
      </c>
      <c r="E31" s="12" t="s">
        <v>80</v>
      </c>
      <c r="F31" s="13" t="s">
        <v>41</v>
      </c>
      <c r="G31" s="14" t="s">
        <v>13</v>
      </c>
      <c r="H31" t="str">
        <f>LEFT(E31, SEARCH(",",E31)-1)</f>
        <v>III/b</v>
      </c>
      <c r="I31">
        <v>30</v>
      </c>
      <c r="J31" t="str">
        <f t="shared" si="0"/>
        <v>MELA MELATI, S. Tr. S. I.</v>
      </c>
      <c r="K31" t="str">
        <f t="shared" si="1"/>
        <v>199205152014022000</v>
      </c>
      <c r="L31" t="str">
        <f t="shared" si="2"/>
        <v>2</v>
      </c>
      <c r="N31">
        <v>6</v>
      </c>
      <c r="O31">
        <v>1</v>
      </c>
      <c r="P31">
        <f>INDEX(Sheet2!A:A, MATCH(F31, Sheet2!B:B, 0))</f>
        <v>12</v>
      </c>
      <c r="Q31">
        <v>2</v>
      </c>
      <c r="R31">
        <f>INDEX(Sheet3!A:A, MATCH(G31, Sheet3!B:B, 0))</f>
        <v>4</v>
      </c>
      <c r="S31" s="121" t="s">
        <v>432</v>
      </c>
      <c r="T31" t="str">
        <f t="shared" si="3"/>
        <v>199205152014022000.jpg</v>
      </c>
    </row>
    <row r="32" spans="1:20" ht="15.75" x14ac:dyDescent="0.25">
      <c r="A32" s="13" t="s">
        <v>83</v>
      </c>
      <c r="B32" s="85" t="s">
        <v>362</v>
      </c>
      <c r="C32" s="12">
        <v>9</v>
      </c>
      <c r="D32" s="12">
        <v>1974</v>
      </c>
      <c r="E32" s="12" t="s">
        <v>84</v>
      </c>
      <c r="F32" s="13" t="s">
        <v>75</v>
      </c>
      <c r="G32" s="14" t="s">
        <v>76</v>
      </c>
      <c r="H32" t="str">
        <f>LEFT(E32, SEARCH(",",E32)-1)</f>
        <v>III/b</v>
      </c>
      <c r="I32">
        <v>31</v>
      </c>
      <c r="J32" t="str">
        <f t="shared" si="0"/>
        <v>SUHADI ROHANI</v>
      </c>
      <c r="K32" t="str">
        <f t="shared" si="1"/>
        <v>197409152006041004</v>
      </c>
      <c r="L32" t="str">
        <f t="shared" si="2"/>
        <v>1</v>
      </c>
      <c r="N32">
        <v>6</v>
      </c>
      <c r="O32">
        <v>1</v>
      </c>
      <c r="P32">
        <f>INDEX(Sheet2!A:A, MATCH(F32, Sheet2!B:B, 0))</f>
        <v>20</v>
      </c>
      <c r="Q32">
        <v>2</v>
      </c>
      <c r="R32">
        <f>INDEX(Sheet3!A:A, MATCH(G32, Sheet3!B:B, 0))</f>
        <v>6</v>
      </c>
      <c r="S32" s="121" t="s">
        <v>432</v>
      </c>
      <c r="T32" t="str">
        <f t="shared" si="3"/>
        <v>197409152006041004.jpg</v>
      </c>
    </row>
    <row r="33" spans="1:20" ht="15.75" x14ac:dyDescent="0.25">
      <c r="A33" s="13" t="s">
        <v>85</v>
      </c>
      <c r="B33" s="93">
        <v>1.9840806201503101E+17</v>
      </c>
      <c r="C33" s="12">
        <v>8</v>
      </c>
      <c r="D33" s="12">
        <v>1984</v>
      </c>
      <c r="E33" s="12" t="s">
        <v>86</v>
      </c>
      <c r="F33" s="13" t="s">
        <v>33</v>
      </c>
      <c r="G33" s="14" t="s">
        <v>20</v>
      </c>
      <c r="H33" t="str">
        <f>LEFT(E33, SEARCH(",",E33)-1)</f>
        <v>III/a</v>
      </c>
      <c r="I33">
        <v>32</v>
      </c>
      <c r="J33" t="str">
        <f t="shared" si="0"/>
        <v>IMAM SUPARDI, A.Md</v>
      </c>
      <c r="K33" t="str">
        <f t="shared" si="1"/>
        <v>198408062015031000</v>
      </c>
      <c r="L33" t="str">
        <f t="shared" si="2"/>
        <v>1</v>
      </c>
      <c r="N33">
        <v>6</v>
      </c>
      <c r="O33">
        <v>1</v>
      </c>
      <c r="P33">
        <f>INDEX(Sheet2!A:A, MATCH(F33, Sheet2!B:B, 0))</f>
        <v>9</v>
      </c>
      <c r="Q33">
        <v>2</v>
      </c>
      <c r="R33">
        <f>INDEX(Sheet3!A:A, MATCH(G33, Sheet3!B:B, 0))</f>
        <v>5</v>
      </c>
      <c r="S33" s="121" t="s">
        <v>432</v>
      </c>
      <c r="T33" t="str">
        <f t="shared" si="3"/>
        <v>198408062015031000.jpg</v>
      </c>
    </row>
    <row r="34" spans="1:20" ht="15.75" x14ac:dyDescent="0.25">
      <c r="A34" s="34" t="s">
        <v>87</v>
      </c>
      <c r="B34" s="94" t="s">
        <v>363</v>
      </c>
      <c r="C34" s="35">
        <v>10</v>
      </c>
      <c r="D34" s="35">
        <v>1995</v>
      </c>
      <c r="E34" s="35" t="s">
        <v>88</v>
      </c>
      <c r="F34" s="36" t="s">
        <v>89</v>
      </c>
      <c r="G34" s="37" t="s">
        <v>20</v>
      </c>
      <c r="H34" t="str">
        <f>E34</f>
        <v>II/c</v>
      </c>
      <c r="I34">
        <v>33</v>
      </c>
      <c r="J34" t="str">
        <f t="shared" si="0"/>
        <v>EVI DARYANTI, A.Md.</v>
      </c>
      <c r="K34" t="str">
        <f t="shared" si="1"/>
        <v>199510242025062001</v>
      </c>
      <c r="L34" t="str">
        <f t="shared" si="2"/>
        <v>2</v>
      </c>
      <c r="N34">
        <v>6</v>
      </c>
      <c r="O34">
        <v>1</v>
      </c>
      <c r="P34">
        <f>INDEX(Sheet2!A:A, MATCH(F34, Sheet2!B:B, 0))</f>
        <v>22</v>
      </c>
      <c r="Q34">
        <v>2</v>
      </c>
      <c r="R34">
        <f>INDEX(Sheet3!A:A, MATCH(G34, Sheet3!B:B, 0))</f>
        <v>5</v>
      </c>
      <c r="S34" s="121" t="s">
        <v>432</v>
      </c>
      <c r="T34" t="str">
        <f t="shared" si="3"/>
        <v>199510242025062001.jpg</v>
      </c>
    </row>
    <row r="35" spans="1:20" ht="15.75" x14ac:dyDescent="0.25">
      <c r="A35" s="34" t="s">
        <v>90</v>
      </c>
      <c r="B35" s="94" t="s">
        <v>364</v>
      </c>
      <c r="C35" s="35">
        <v>9</v>
      </c>
      <c r="D35" s="35">
        <v>2002</v>
      </c>
      <c r="E35" s="35" t="s">
        <v>91</v>
      </c>
      <c r="F35" s="36" t="s">
        <v>92</v>
      </c>
      <c r="G35" s="37" t="s">
        <v>13</v>
      </c>
      <c r="H35" t="str">
        <f>E35</f>
        <v>III/a</v>
      </c>
      <c r="I35">
        <v>34</v>
      </c>
      <c r="J35" t="str">
        <f t="shared" si="0"/>
        <v>BAGAS SANTOSA NUGRAHA, S.Tr.T.</v>
      </c>
      <c r="K35" t="str">
        <f t="shared" si="1"/>
        <v>200209112025061001</v>
      </c>
      <c r="L35" t="str">
        <f t="shared" si="2"/>
        <v>1</v>
      </c>
      <c r="N35">
        <v>6</v>
      </c>
      <c r="O35">
        <v>1</v>
      </c>
      <c r="P35">
        <f>INDEX(Sheet2!A:A, MATCH(F35, Sheet2!B:B, 0))</f>
        <v>23</v>
      </c>
      <c r="Q35">
        <v>2</v>
      </c>
      <c r="R35">
        <f>INDEX(Sheet3!A:A, MATCH(G35, Sheet3!B:B, 0))</f>
        <v>4</v>
      </c>
      <c r="S35" s="121" t="s">
        <v>432</v>
      </c>
      <c r="T35" t="str">
        <f t="shared" si="3"/>
        <v>200209112025061001.jpg</v>
      </c>
    </row>
    <row r="36" spans="1:20" ht="15.75" x14ac:dyDescent="0.25">
      <c r="A36" s="34" t="s">
        <v>93</v>
      </c>
      <c r="B36" s="94" t="s">
        <v>365</v>
      </c>
      <c r="C36" s="35">
        <v>11</v>
      </c>
      <c r="D36" s="35">
        <v>2000</v>
      </c>
      <c r="E36" s="35" t="s">
        <v>91</v>
      </c>
      <c r="F36" s="36" t="s">
        <v>92</v>
      </c>
      <c r="G36" s="37" t="s">
        <v>13</v>
      </c>
      <c r="H36" t="str">
        <f>E36</f>
        <v>III/a</v>
      </c>
      <c r="I36">
        <v>35</v>
      </c>
      <c r="J36" t="str">
        <f t="shared" si="0"/>
        <v>LUTHFAN DARMAWAN, S.T.</v>
      </c>
      <c r="K36" t="str">
        <f t="shared" si="1"/>
        <v>200001122025061001</v>
      </c>
      <c r="L36" t="str">
        <f t="shared" si="2"/>
        <v>1</v>
      </c>
      <c r="N36">
        <v>6</v>
      </c>
      <c r="O36">
        <v>1</v>
      </c>
      <c r="P36">
        <f>INDEX(Sheet2!A:A, MATCH(F36, Sheet2!B:B, 0))</f>
        <v>23</v>
      </c>
      <c r="Q36">
        <v>2</v>
      </c>
      <c r="R36">
        <f>INDEX(Sheet3!A:A, MATCH(G36, Sheet3!B:B, 0))</f>
        <v>4</v>
      </c>
      <c r="S36" s="121" t="s">
        <v>432</v>
      </c>
      <c r="T36" t="str">
        <f t="shared" si="3"/>
        <v>200001122025061001.jpg</v>
      </c>
    </row>
    <row r="37" spans="1:20" ht="15.75" x14ac:dyDescent="0.25">
      <c r="A37" s="34" t="s">
        <v>94</v>
      </c>
      <c r="B37" s="94" t="s">
        <v>366</v>
      </c>
      <c r="C37" s="35">
        <v>10</v>
      </c>
      <c r="D37" s="35">
        <v>1996</v>
      </c>
      <c r="E37" s="35" t="s">
        <v>88</v>
      </c>
      <c r="F37" s="36" t="s">
        <v>95</v>
      </c>
      <c r="G37" s="37" t="s">
        <v>20</v>
      </c>
      <c r="H37" t="str">
        <f>E37</f>
        <v>II/c</v>
      </c>
      <c r="I37">
        <v>36</v>
      </c>
      <c r="J37" t="str">
        <f t="shared" si="0"/>
        <v>AYU TRIANA SETYANINGRUM, A.Md.</v>
      </c>
      <c r="K37" t="str">
        <f t="shared" si="1"/>
        <v>199610112025062002</v>
      </c>
      <c r="L37" t="str">
        <f t="shared" si="2"/>
        <v>2</v>
      </c>
      <c r="N37">
        <v>6</v>
      </c>
      <c r="O37">
        <v>1</v>
      </c>
      <c r="P37">
        <f>INDEX(Sheet2!A:A, MATCH(F37, Sheet2!B:B, 0))</f>
        <v>24</v>
      </c>
      <c r="Q37">
        <v>2</v>
      </c>
      <c r="R37">
        <f>INDEX(Sheet3!A:A, MATCH(G37, Sheet3!B:B, 0))</f>
        <v>5</v>
      </c>
      <c r="S37" s="121" t="s">
        <v>432</v>
      </c>
      <c r="T37" t="str">
        <f t="shared" si="3"/>
        <v>199610112025062002.jpg</v>
      </c>
    </row>
    <row r="38" spans="1:20" ht="15.75" x14ac:dyDescent="0.25">
      <c r="A38" s="13" t="s">
        <v>96</v>
      </c>
      <c r="B38" s="85" t="s">
        <v>367</v>
      </c>
      <c r="C38" s="12">
        <v>9</v>
      </c>
      <c r="D38" s="12">
        <v>1995</v>
      </c>
      <c r="E38" s="12" t="s">
        <v>29</v>
      </c>
      <c r="F38" s="13" t="s">
        <v>97</v>
      </c>
      <c r="G38" s="14" t="s">
        <v>13</v>
      </c>
      <c r="H38" t="str">
        <f>LEFT(E38, SEARCH(",",E38)-1)</f>
        <v>III/b</v>
      </c>
      <c r="I38">
        <v>37</v>
      </c>
      <c r="J38" t="str">
        <f t="shared" si="0"/>
        <v>THERESIA NATALIA SABU SUMA TUKAN, S.E.</v>
      </c>
      <c r="K38" t="str">
        <f t="shared" si="1"/>
        <v>199509152020122010</v>
      </c>
      <c r="L38" t="str">
        <f t="shared" si="2"/>
        <v>2</v>
      </c>
      <c r="N38">
        <v>6</v>
      </c>
      <c r="O38">
        <v>5</v>
      </c>
      <c r="P38">
        <f>INDEX(Sheet2!A:A, MATCH(F38, Sheet2!B:B, 0))</f>
        <v>25</v>
      </c>
      <c r="Q38">
        <v>2</v>
      </c>
      <c r="R38">
        <f>INDEX(Sheet3!A:A, MATCH(G38, Sheet3!B:B, 0))</f>
        <v>4</v>
      </c>
      <c r="S38" s="121" t="s">
        <v>432</v>
      </c>
      <c r="T38" t="str">
        <f t="shared" si="3"/>
        <v>199509152020122010.jpg</v>
      </c>
    </row>
    <row r="39" spans="1:20" ht="15.75" x14ac:dyDescent="0.25">
      <c r="A39" s="13" t="s">
        <v>98</v>
      </c>
      <c r="B39" s="85" t="s">
        <v>368</v>
      </c>
      <c r="C39" s="12">
        <v>5</v>
      </c>
      <c r="D39" s="12">
        <v>1995</v>
      </c>
      <c r="E39" s="12" t="s">
        <v>74</v>
      </c>
      <c r="F39" s="13" t="s">
        <v>72</v>
      </c>
      <c r="G39" s="14" t="s">
        <v>3</v>
      </c>
      <c r="H39" t="str">
        <f>LEFT(E39, SEARCH(",",E39)-1)</f>
        <v>III/b</v>
      </c>
      <c r="I39">
        <v>38</v>
      </c>
      <c r="J39" t="str">
        <f t="shared" si="0"/>
        <v>BURHAN ISLAMI A, S.I.Kom., M.A.</v>
      </c>
      <c r="K39" t="str">
        <f t="shared" si="1"/>
        <v>199505152019021003</v>
      </c>
      <c r="L39" t="str">
        <f t="shared" si="2"/>
        <v>1</v>
      </c>
      <c r="N39">
        <v>6</v>
      </c>
      <c r="O39">
        <v>5</v>
      </c>
      <c r="P39">
        <f>INDEX(Sheet2!A:A, MATCH(F39, Sheet2!B:B, 0))</f>
        <v>19</v>
      </c>
      <c r="Q39">
        <v>2</v>
      </c>
      <c r="R39">
        <f>INDEX(Sheet3!A:A, MATCH(G39, Sheet3!B:B, 0))</f>
        <v>3</v>
      </c>
      <c r="S39" s="121" t="s">
        <v>432</v>
      </c>
      <c r="T39" t="str">
        <f t="shared" si="3"/>
        <v>199505152019021003.jpg</v>
      </c>
    </row>
    <row r="40" spans="1:20" ht="15.75" customHeight="1" x14ac:dyDescent="0.25">
      <c r="A40" s="38" t="s">
        <v>99</v>
      </c>
      <c r="B40" s="93">
        <v>1.9971223202421101E+17</v>
      </c>
      <c r="C40" s="12">
        <v>12</v>
      </c>
      <c r="D40" s="12">
        <v>1997</v>
      </c>
      <c r="E40" s="12" t="s">
        <v>65</v>
      </c>
      <c r="F40" s="13" t="s">
        <v>100</v>
      </c>
      <c r="G40" s="14" t="s">
        <v>20</v>
      </c>
      <c r="H40" t="str">
        <f>E40</f>
        <v>VII</v>
      </c>
      <c r="I40">
        <v>39</v>
      </c>
      <c r="J40" t="str">
        <f t="shared" si="0"/>
        <v xml:space="preserve">MUHAMMAD FATCHAN HELVIAN, A.Md.Vet.
</v>
      </c>
      <c r="K40" t="str">
        <f t="shared" si="1"/>
        <v>199712232024211000</v>
      </c>
      <c r="L40" t="str">
        <f t="shared" si="2"/>
        <v>1</v>
      </c>
      <c r="N40">
        <v>6</v>
      </c>
      <c r="O40">
        <v>2</v>
      </c>
      <c r="P40">
        <f>INDEX(Sheet2!A:A, MATCH(F40, Sheet2!B:B, 0))</f>
        <v>26</v>
      </c>
      <c r="Q40">
        <v>2</v>
      </c>
      <c r="R40">
        <f>INDEX(Sheet3!A:A, MATCH(G40, Sheet3!B:B, 0))</f>
        <v>5</v>
      </c>
      <c r="S40" s="121" t="s">
        <v>432</v>
      </c>
      <c r="T40" t="str">
        <f t="shared" si="3"/>
        <v>199712232024211000.jpg</v>
      </c>
    </row>
    <row r="41" spans="1:20" ht="15.75" x14ac:dyDescent="0.25">
      <c r="A41" s="13" t="s">
        <v>101</v>
      </c>
      <c r="B41" s="100" t="s">
        <v>406</v>
      </c>
      <c r="C41" s="12">
        <v>11</v>
      </c>
      <c r="D41" s="12">
        <v>1981</v>
      </c>
      <c r="E41" s="12" t="s">
        <v>65</v>
      </c>
      <c r="F41" s="13" t="s">
        <v>100</v>
      </c>
      <c r="G41" s="14" t="s">
        <v>20</v>
      </c>
      <c r="H41" t="str">
        <f>E41</f>
        <v>VII</v>
      </c>
      <c r="I41">
        <v>40</v>
      </c>
      <c r="J41" t="str">
        <f t="shared" si="0"/>
        <v>MUHAMMAD SIDIQ NOVIANTORO, 
A.Md</v>
      </c>
      <c r="K41" t="str">
        <f t="shared" si="1"/>
        <v>198111072024211003</v>
      </c>
      <c r="L41" t="str">
        <f t="shared" si="2"/>
        <v>1</v>
      </c>
      <c r="N41">
        <v>6</v>
      </c>
      <c r="O41">
        <v>2</v>
      </c>
      <c r="P41">
        <f>INDEX(Sheet2!A:A, MATCH(F41, Sheet2!B:B, 0))</f>
        <v>26</v>
      </c>
      <c r="Q41">
        <v>2</v>
      </c>
      <c r="R41">
        <f>INDEX(Sheet3!A:A, MATCH(G41, Sheet3!B:B, 0))</f>
        <v>5</v>
      </c>
      <c r="S41" s="121" t="s">
        <v>432</v>
      </c>
      <c r="T41" t="str">
        <f t="shared" si="3"/>
        <v>198111072024211003.jpg</v>
      </c>
    </row>
    <row r="42" spans="1:20" ht="15.75" x14ac:dyDescent="0.25">
      <c r="A42" s="40" t="s">
        <v>102</v>
      </c>
      <c r="B42" s="117" t="s">
        <v>407</v>
      </c>
      <c r="C42" s="39">
        <v>11</v>
      </c>
      <c r="D42" s="39">
        <v>1995</v>
      </c>
      <c r="E42" s="39" t="s">
        <v>65</v>
      </c>
      <c r="F42" s="13" t="s">
        <v>100</v>
      </c>
      <c r="G42" s="41" t="s">
        <v>20</v>
      </c>
      <c r="H42" t="str">
        <f>E42</f>
        <v>VII</v>
      </c>
      <c r="I42">
        <v>41</v>
      </c>
      <c r="J42" t="str">
        <f t="shared" si="0"/>
        <v>NURLIANA DWI UTARI, A.Md.</v>
      </c>
      <c r="K42" t="str">
        <f t="shared" si="1"/>
        <v>199511152024212024</v>
      </c>
      <c r="L42" t="str">
        <f t="shared" si="2"/>
        <v>2</v>
      </c>
      <c r="N42">
        <v>6</v>
      </c>
      <c r="O42">
        <v>2</v>
      </c>
      <c r="P42">
        <f>INDEX(Sheet2!A:A, MATCH(F42, Sheet2!B:B, 0))</f>
        <v>26</v>
      </c>
      <c r="Q42">
        <v>2</v>
      </c>
      <c r="R42">
        <f>INDEX(Sheet3!A:A, MATCH(G42, Sheet3!B:B, 0))</f>
        <v>5</v>
      </c>
      <c r="S42" s="121" t="s">
        <v>432</v>
      </c>
      <c r="T42" t="str">
        <f t="shared" si="3"/>
        <v>199511152024212024.jpg</v>
      </c>
    </row>
    <row r="43" spans="1:20" ht="15.75" x14ac:dyDescent="0.25">
      <c r="A43" s="34" t="s">
        <v>103</v>
      </c>
      <c r="B43" s="96">
        <v>1.9950228202521101E+17</v>
      </c>
      <c r="C43" s="35">
        <v>2</v>
      </c>
      <c r="D43" s="35">
        <v>1995</v>
      </c>
      <c r="E43" s="35" t="s">
        <v>104</v>
      </c>
      <c r="F43" s="34" t="s">
        <v>105</v>
      </c>
      <c r="G43" s="14" t="s">
        <v>13</v>
      </c>
      <c r="H43" t="str">
        <f>E43</f>
        <v>IX</v>
      </c>
      <c r="I43">
        <v>42</v>
      </c>
      <c r="J43" t="str">
        <f t="shared" si="0"/>
        <v>ACHMAD SIDIQ ASAD, S.Pd</v>
      </c>
      <c r="K43" t="str">
        <f t="shared" si="1"/>
        <v>199502282025211000</v>
      </c>
      <c r="L43" t="str">
        <f t="shared" si="2"/>
        <v>1</v>
      </c>
      <c r="N43">
        <v>6</v>
      </c>
      <c r="O43">
        <v>2</v>
      </c>
      <c r="P43">
        <f>INDEX(Sheet2!A:A, MATCH(F43, Sheet2!B:B, 0))</f>
        <v>27</v>
      </c>
      <c r="Q43">
        <v>2</v>
      </c>
      <c r="R43">
        <f>INDEX(Sheet3!A:A, MATCH(G43, Sheet3!B:B, 0))</f>
        <v>4</v>
      </c>
      <c r="S43" s="121" t="s">
        <v>432</v>
      </c>
      <c r="T43" t="str">
        <f t="shared" si="3"/>
        <v>199502282025211000.jpg</v>
      </c>
    </row>
    <row r="44" spans="1:20" ht="15.75" x14ac:dyDescent="0.25">
      <c r="A44" s="34" t="s">
        <v>106</v>
      </c>
      <c r="B44" s="96">
        <v>1.99010012025212E+17</v>
      </c>
      <c r="C44" s="35">
        <v>10</v>
      </c>
      <c r="D44" s="35">
        <v>1990</v>
      </c>
      <c r="E44" s="35" t="s">
        <v>104</v>
      </c>
      <c r="F44" s="34" t="s">
        <v>105</v>
      </c>
      <c r="G44" s="14" t="s">
        <v>13</v>
      </c>
      <c r="H44" t="str">
        <f>E44</f>
        <v>IX</v>
      </c>
      <c r="I44">
        <v>43</v>
      </c>
      <c r="J44" t="str">
        <f t="shared" si="0"/>
        <v>AZOLLA SILVIANI, S.Sos.</v>
      </c>
      <c r="K44" t="str">
        <f t="shared" si="1"/>
        <v>199010012025212000</v>
      </c>
      <c r="L44" t="str">
        <f t="shared" si="2"/>
        <v>2</v>
      </c>
      <c r="N44">
        <v>6</v>
      </c>
      <c r="O44">
        <v>2</v>
      </c>
      <c r="P44">
        <f>INDEX(Sheet2!A:A, MATCH(F44, Sheet2!B:B, 0))</f>
        <v>27</v>
      </c>
      <c r="Q44">
        <v>2</v>
      </c>
      <c r="R44">
        <f>INDEX(Sheet3!A:A, MATCH(G44, Sheet3!B:B, 0))</f>
        <v>4</v>
      </c>
      <c r="S44" s="121" t="s">
        <v>432</v>
      </c>
      <c r="T44" t="str">
        <f t="shared" si="3"/>
        <v>199010012025212000.jpg</v>
      </c>
    </row>
    <row r="45" spans="1:20" ht="15.75" x14ac:dyDescent="0.25">
      <c r="A45" s="34" t="s">
        <v>107</v>
      </c>
      <c r="B45" s="96">
        <v>1.9951220202521101E+17</v>
      </c>
      <c r="C45" s="35">
        <v>12</v>
      </c>
      <c r="D45" s="35">
        <v>1995</v>
      </c>
      <c r="E45" s="35" t="s">
        <v>104</v>
      </c>
      <c r="F45" s="34" t="s">
        <v>105</v>
      </c>
      <c r="G45" s="14" t="s">
        <v>13</v>
      </c>
      <c r="H45" t="str">
        <f>E45</f>
        <v>IX</v>
      </c>
      <c r="I45">
        <v>44</v>
      </c>
      <c r="J45" t="str">
        <f t="shared" si="0"/>
        <v>DIMAS DWI NUGROHO, S.Kom</v>
      </c>
      <c r="K45" t="str">
        <f t="shared" si="1"/>
        <v>199512202025211000</v>
      </c>
      <c r="L45" t="str">
        <f t="shared" si="2"/>
        <v>1</v>
      </c>
      <c r="N45">
        <v>6</v>
      </c>
      <c r="O45">
        <v>2</v>
      </c>
      <c r="P45">
        <f>INDEX(Sheet2!A:A, MATCH(F45, Sheet2!B:B, 0))</f>
        <v>27</v>
      </c>
      <c r="Q45">
        <v>2</v>
      </c>
      <c r="R45">
        <f>INDEX(Sheet3!A:A, MATCH(G45, Sheet3!B:B, 0))</f>
        <v>4</v>
      </c>
      <c r="S45" s="121" t="s">
        <v>432</v>
      </c>
      <c r="T45" t="str">
        <f t="shared" si="3"/>
        <v>199512202025211000.jpg</v>
      </c>
    </row>
    <row r="46" spans="1:20" ht="15.75" x14ac:dyDescent="0.25">
      <c r="A46" s="34" t="s">
        <v>108</v>
      </c>
      <c r="B46" s="96">
        <v>1.99605242025212E+17</v>
      </c>
      <c r="C46" s="35">
        <v>5</v>
      </c>
      <c r="D46" s="35">
        <v>1996</v>
      </c>
      <c r="E46" s="35" t="s">
        <v>104</v>
      </c>
      <c r="F46" s="34" t="s">
        <v>105</v>
      </c>
      <c r="G46" s="14" t="s">
        <v>13</v>
      </c>
      <c r="H46" t="str">
        <f>E46</f>
        <v>IX</v>
      </c>
      <c r="I46">
        <v>45</v>
      </c>
      <c r="J46" t="str">
        <f t="shared" si="0"/>
        <v>FRANSISCA TRIGIASMI, S.Pd.</v>
      </c>
      <c r="K46" t="str">
        <f t="shared" si="1"/>
        <v>199605242025212000</v>
      </c>
      <c r="L46" t="str">
        <f t="shared" si="2"/>
        <v>2</v>
      </c>
      <c r="N46">
        <v>6</v>
      </c>
      <c r="O46">
        <v>2</v>
      </c>
      <c r="P46">
        <f>INDEX(Sheet2!A:A, MATCH(F46, Sheet2!B:B, 0))</f>
        <v>27</v>
      </c>
      <c r="Q46">
        <v>2</v>
      </c>
      <c r="R46">
        <f>INDEX(Sheet3!A:A, MATCH(G46, Sheet3!B:B, 0))</f>
        <v>4</v>
      </c>
      <c r="S46" s="121" t="s">
        <v>432</v>
      </c>
      <c r="T46" t="str">
        <f t="shared" si="3"/>
        <v>199605242025212000.jpg</v>
      </c>
    </row>
    <row r="47" spans="1:20" ht="15.75" x14ac:dyDescent="0.25">
      <c r="A47" s="34" t="s">
        <v>109</v>
      </c>
      <c r="B47" s="96">
        <v>1.9861119202521101E+17</v>
      </c>
      <c r="C47" s="35">
        <v>11</v>
      </c>
      <c r="D47" s="35">
        <v>1986</v>
      </c>
      <c r="E47" s="35" t="s">
        <v>110</v>
      </c>
      <c r="F47" s="34" t="s">
        <v>111</v>
      </c>
      <c r="G47" s="37" t="s">
        <v>112</v>
      </c>
      <c r="H47" t="str">
        <f>E47</f>
        <v>V</v>
      </c>
      <c r="I47">
        <v>46</v>
      </c>
      <c r="J47" t="str">
        <f t="shared" si="0"/>
        <v>EKO ISWANDONO</v>
      </c>
      <c r="K47" t="str">
        <f t="shared" si="1"/>
        <v>198611192025211000</v>
      </c>
      <c r="L47" t="str">
        <f t="shared" si="2"/>
        <v>1</v>
      </c>
      <c r="N47">
        <v>6</v>
      </c>
      <c r="O47">
        <v>2</v>
      </c>
      <c r="P47">
        <f>INDEX(Sheet2!A:A, MATCH(F47, Sheet2!B:B, 0))</f>
        <v>28</v>
      </c>
      <c r="Q47">
        <v>2</v>
      </c>
      <c r="R47">
        <f>INDEX(Sheet3!A:A, MATCH(G47, Sheet3!B:B, 0))</f>
        <v>6</v>
      </c>
      <c r="S47" s="121" t="s">
        <v>432</v>
      </c>
      <c r="T47" t="str">
        <f t="shared" si="3"/>
        <v>198611192025211000.jpg</v>
      </c>
    </row>
    <row r="48" spans="1:20" ht="15.75" x14ac:dyDescent="0.25">
      <c r="A48" s="34" t="s">
        <v>113</v>
      </c>
      <c r="B48" s="96">
        <v>1.9900209202521101E+17</v>
      </c>
      <c r="C48" s="35">
        <v>2</v>
      </c>
      <c r="D48" s="35">
        <v>1990</v>
      </c>
      <c r="E48" s="35" t="s">
        <v>110</v>
      </c>
      <c r="F48" s="34" t="s">
        <v>114</v>
      </c>
      <c r="G48" s="37" t="s">
        <v>115</v>
      </c>
      <c r="H48" t="str">
        <f>E48</f>
        <v>V</v>
      </c>
      <c r="I48">
        <v>47</v>
      </c>
      <c r="J48" t="str">
        <f t="shared" si="0"/>
        <v>SULISTYO NUGROHO</v>
      </c>
      <c r="K48" t="str">
        <f t="shared" si="1"/>
        <v>199002092025211000</v>
      </c>
      <c r="L48" t="str">
        <f t="shared" si="2"/>
        <v>1</v>
      </c>
      <c r="N48">
        <v>6</v>
      </c>
      <c r="O48">
        <v>2</v>
      </c>
      <c r="P48">
        <f>INDEX(Sheet2!A:A, MATCH(F48, Sheet2!B:B, 0))</f>
        <v>29</v>
      </c>
      <c r="Q48">
        <v>2</v>
      </c>
      <c r="R48">
        <f>INDEX(Sheet3!A:A, MATCH(G48, Sheet3!B:B, 0))</f>
        <v>6</v>
      </c>
      <c r="S48" s="121" t="s">
        <v>432</v>
      </c>
      <c r="T48" t="str">
        <f t="shared" si="3"/>
        <v>199002092025211000.jpg</v>
      </c>
    </row>
    <row r="49" spans="1:20" ht="15.75" x14ac:dyDescent="0.25">
      <c r="A49" s="42" t="s">
        <v>116</v>
      </c>
      <c r="B49" s="91">
        <v>1.9690206199303101E+17</v>
      </c>
      <c r="C49" s="26">
        <v>2</v>
      </c>
      <c r="D49" s="26">
        <v>1969</v>
      </c>
      <c r="E49" s="26" t="s">
        <v>117</v>
      </c>
      <c r="F49" s="27" t="s">
        <v>118</v>
      </c>
      <c r="G49" s="28" t="s">
        <v>13</v>
      </c>
      <c r="H49" t="str">
        <f>LEFT(E49, SEARCH(",",E49)-1)</f>
        <v>IV/b</v>
      </c>
      <c r="I49">
        <v>48</v>
      </c>
      <c r="J49" t="str">
        <f t="shared" si="0"/>
        <v>DWI HARYONO, S.H.</v>
      </c>
      <c r="K49" t="str">
        <f t="shared" si="1"/>
        <v>196902061993031000</v>
      </c>
      <c r="L49" t="str">
        <f t="shared" si="2"/>
        <v>1</v>
      </c>
      <c r="N49">
        <v>4</v>
      </c>
      <c r="O49">
        <v>1</v>
      </c>
      <c r="P49">
        <f>INDEX(Sheet2!A:A, MATCH(F49, Sheet2!B:B, 0))</f>
        <v>30</v>
      </c>
      <c r="Q49">
        <v>2</v>
      </c>
      <c r="R49">
        <f>INDEX(Sheet3!A:A, MATCH(G49, Sheet3!B:B, 0))</f>
        <v>4</v>
      </c>
      <c r="S49" s="121" t="s">
        <v>432</v>
      </c>
      <c r="T49" t="str">
        <f t="shared" si="3"/>
        <v>196902061993031000.jpg</v>
      </c>
    </row>
    <row r="50" spans="1:20" ht="15.75" x14ac:dyDescent="0.25">
      <c r="A50" s="44" t="s">
        <v>119</v>
      </c>
      <c r="B50" s="97">
        <v>1.97210181993032E+17</v>
      </c>
      <c r="C50" s="45">
        <v>10</v>
      </c>
      <c r="D50" s="45">
        <v>1972</v>
      </c>
      <c r="E50" s="43" t="s">
        <v>120</v>
      </c>
      <c r="F50" s="32" t="s">
        <v>118</v>
      </c>
      <c r="G50" s="46" t="s">
        <v>13</v>
      </c>
      <c r="H50" t="str">
        <f>LEFT(E50, SEARCH(",",E50)-1)</f>
        <v>IV/b</v>
      </c>
      <c r="I50">
        <v>49</v>
      </c>
      <c r="J50" t="str">
        <f t="shared" si="0"/>
        <v>ENDAH SARI RAHAYU, S.E.</v>
      </c>
      <c r="K50" t="str">
        <f t="shared" si="1"/>
        <v>197210181993032000</v>
      </c>
      <c r="L50" t="str">
        <f t="shared" si="2"/>
        <v>2</v>
      </c>
      <c r="N50">
        <v>4</v>
      </c>
      <c r="O50">
        <v>1</v>
      </c>
      <c r="P50">
        <f>INDEX(Sheet2!A:A, MATCH(F50, Sheet2!B:B, 0))</f>
        <v>30</v>
      </c>
      <c r="Q50">
        <v>2</v>
      </c>
      <c r="R50">
        <f>INDEX(Sheet3!A:A, MATCH(G50, Sheet3!B:B, 0))</f>
        <v>4</v>
      </c>
      <c r="S50" s="121" t="s">
        <v>432</v>
      </c>
      <c r="T50" t="str">
        <f t="shared" si="3"/>
        <v>197210181993032000.jpg</v>
      </c>
    </row>
    <row r="51" spans="1:20" ht="15.75" x14ac:dyDescent="0.25">
      <c r="A51" s="10" t="s">
        <v>121</v>
      </c>
      <c r="B51" s="81">
        <v>1.9690616199403101E+17</v>
      </c>
      <c r="C51" s="11">
        <v>6</v>
      </c>
      <c r="D51" s="11">
        <v>1969</v>
      </c>
      <c r="E51" s="12" t="s">
        <v>45</v>
      </c>
      <c r="F51" s="13" t="s">
        <v>118</v>
      </c>
      <c r="G51" s="14" t="s">
        <v>13</v>
      </c>
      <c r="H51" t="str">
        <f>LEFT(E51, SEARCH(",",E51)-1)</f>
        <v>IV/a</v>
      </c>
      <c r="I51">
        <v>50</v>
      </c>
      <c r="J51" t="str">
        <f t="shared" si="0"/>
        <v>MOH. HUSAENI, S.IP</v>
      </c>
      <c r="K51" t="str">
        <f t="shared" si="1"/>
        <v>196906161994031000</v>
      </c>
      <c r="L51" t="str">
        <f t="shared" si="2"/>
        <v>1</v>
      </c>
      <c r="N51">
        <v>4</v>
      </c>
      <c r="O51">
        <v>1</v>
      </c>
      <c r="P51">
        <f>INDEX(Sheet2!A:A, MATCH(F51, Sheet2!B:B, 0))</f>
        <v>30</v>
      </c>
      <c r="Q51">
        <v>2</v>
      </c>
      <c r="R51">
        <f>INDEX(Sheet3!A:A, MATCH(G51, Sheet3!B:B, 0))</f>
        <v>4</v>
      </c>
      <c r="S51" s="121" t="s">
        <v>432</v>
      </c>
      <c r="T51" t="str">
        <f t="shared" si="3"/>
        <v>196906161994031000.jpg</v>
      </c>
    </row>
    <row r="52" spans="1:20" ht="15.75" x14ac:dyDescent="0.25">
      <c r="A52" s="13" t="s">
        <v>122</v>
      </c>
      <c r="B52" s="81">
        <v>1.9740323199902099E+17</v>
      </c>
      <c r="C52" s="11">
        <v>3</v>
      </c>
      <c r="D52" s="11">
        <v>1974</v>
      </c>
      <c r="E52" s="12" t="s">
        <v>123</v>
      </c>
      <c r="F52" s="13" t="s">
        <v>118</v>
      </c>
      <c r="G52" s="14" t="s">
        <v>3</v>
      </c>
      <c r="H52" t="str">
        <f>LEFT(E52, SEARCH(",",E52)-1)</f>
        <v>IV/a</v>
      </c>
      <c r="I52">
        <v>51</v>
      </c>
      <c r="J52" t="str">
        <f t="shared" si="0"/>
        <v>SUYATNO, S.E.,  M.M.</v>
      </c>
      <c r="K52" t="str">
        <f t="shared" si="1"/>
        <v>197403231999021000</v>
      </c>
      <c r="L52" t="str">
        <f t="shared" si="2"/>
        <v>1</v>
      </c>
      <c r="N52">
        <v>4</v>
      </c>
      <c r="O52">
        <v>1</v>
      </c>
      <c r="P52">
        <f>INDEX(Sheet2!A:A, MATCH(F52, Sheet2!B:B, 0))</f>
        <v>30</v>
      </c>
      <c r="Q52">
        <v>2</v>
      </c>
      <c r="R52">
        <f>INDEX(Sheet3!A:A, MATCH(G52, Sheet3!B:B, 0))</f>
        <v>3</v>
      </c>
      <c r="S52" s="121" t="s">
        <v>432</v>
      </c>
      <c r="T52" t="str">
        <f t="shared" si="3"/>
        <v>197403231999021000.jpg</v>
      </c>
    </row>
    <row r="53" spans="1:20" ht="15.75" x14ac:dyDescent="0.25">
      <c r="A53" s="10" t="s">
        <v>124</v>
      </c>
      <c r="B53" s="81">
        <v>1.96709271987112E+17</v>
      </c>
      <c r="C53" s="11">
        <v>9</v>
      </c>
      <c r="D53" s="11">
        <v>1967</v>
      </c>
      <c r="E53" s="12" t="s">
        <v>125</v>
      </c>
      <c r="F53" s="13" t="s">
        <v>118</v>
      </c>
      <c r="G53" s="14" t="s">
        <v>13</v>
      </c>
      <c r="H53" t="str">
        <f>LEFT(E53, SEARCH(",",E53)-1)</f>
        <v>IV/a</v>
      </c>
      <c r="I53">
        <v>52</v>
      </c>
      <c r="J53" t="str">
        <f t="shared" si="0"/>
        <v>ANDAYANI, S.Sos</v>
      </c>
      <c r="K53" t="str">
        <f t="shared" si="1"/>
        <v>196709271987112000</v>
      </c>
      <c r="L53" t="str">
        <f t="shared" si="2"/>
        <v>2</v>
      </c>
      <c r="N53">
        <v>4</v>
      </c>
      <c r="O53">
        <v>1</v>
      </c>
      <c r="P53">
        <f>INDEX(Sheet2!A:A, MATCH(F53, Sheet2!B:B, 0))</f>
        <v>30</v>
      </c>
      <c r="Q53">
        <v>2</v>
      </c>
      <c r="R53">
        <f>INDEX(Sheet3!A:A, MATCH(G53, Sheet3!B:B, 0))</f>
        <v>4</v>
      </c>
      <c r="S53" s="121" t="s">
        <v>432</v>
      </c>
      <c r="T53" t="str">
        <f t="shared" si="3"/>
        <v>196709271987112000.jpg</v>
      </c>
    </row>
    <row r="54" spans="1:20" ht="15.75" x14ac:dyDescent="0.25">
      <c r="A54" s="13" t="s">
        <v>126</v>
      </c>
      <c r="B54" s="81">
        <v>1.9691012199008099E+17</v>
      </c>
      <c r="C54" s="11">
        <v>10</v>
      </c>
      <c r="D54" s="11">
        <v>1969</v>
      </c>
      <c r="E54" s="12" t="s">
        <v>127</v>
      </c>
      <c r="F54" s="13" t="s">
        <v>23</v>
      </c>
      <c r="G54" s="14" t="s">
        <v>13</v>
      </c>
      <c r="H54" t="str">
        <f>LEFT(E54, SEARCH(",",E54)-1)</f>
        <v>III/d</v>
      </c>
      <c r="I54">
        <v>53</v>
      </c>
      <c r="J54" t="str">
        <f t="shared" si="0"/>
        <v>SUWANTO, S.Sos</v>
      </c>
      <c r="K54" t="str">
        <f t="shared" si="1"/>
        <v>196910121990081000</v>
      </c>
      <c r="L54" t="str">
        <f t="shared" si="2"/>
        <v>1</v>
      </c>
      <c r="N54">
        <v>4</v>
      </c>
      <c r="O54">
        <v>1</v>
      </c>
      <c r="P54">
        <f>INDEX(Sheet2!A:A, MATCH(F54, Sheet2!B:B, 0))</f>
        <v>7</v>
      </c>
      <c r="Q54">
        <v>2</v>
      </c>
      <c r="R54">
        <f>INDEX(Sheet3!A:A, MATCH(G54, Sheet3!B:B, 0))</f>
        <v>4</v>
      </c>
      <c r="S54" s="121" t="s">
        <v>432</v>
      </c>
      <c r="T54" t="str">
        <f t="shared" si="3"/>
        <v>196910121990081000.jpg</v>
      </c>
    </row>
    <row r="55" spans="1:20" ht="15.75" x14ac:dyDescent="0.25">
      <c r="A55" s="13" t="s">
        <v>128</v>
      </c>
      <c r="B55" s="81">
        <v>1.9820401200801101E+17</v>
      </c>
      <c r="C55" s="11">
        <v>4</v>
      </c>
      <c r="D55" s="11">
        <v>1982</v>
      </c>
      <c r="E55" s="12" t="s">
        <v>129</v>
      </c>
      <c r="F55" s="13" t="s">
        <v>23</v>
      </c>
      <c r="G55" s="14" t="s">
        <v>13</v>
      </c>
      <c r="H55" t="str">
        <f>LEFT(E55, SEARCH(",",E55)-1)</f>
        <v>III/c</v>
      </c>
      <c r="I55">
        <v>54</v>
      </c>
      <c r="J55" t="str">
        <f t="shared" si="0"/>
        <v>AGUS WIDODO, S.Sos</v>
      </c>
      <c r="K55" t="str">
        <f t="shared" si="1"/>
        <v>198204012008011000</v>
      </c>
      <c r="L55" t="str">
        <f t="shared" si="2"/>
        <v>1</v>
      </c>
      <c r="N55">
        <v>4</v>
      </c>
      <c r="O55">
        <v>1</v>
      </c>
      <c r="P55">
        <f>INDEX(Sheet2!A:A, MATCH(F55, Sheet2!B:B, 0))</f>
        <v>7</v>
      </c>
      <c r="Q55">
        <v>2</v>
      </c>
      <c r="R55">
        <f>INDEX(Sheet3!A:A, MATCH(G55, Sheet3!B:B, 0))</f>
        <v>4</v>
      </c>
      <c r="S55" s="121" t="s">
        <v>432</v>
      </c>
      <c r="T55" t="str">
        <f t="shared" si="3"/>
        <v>198204012008011000.jpg</v>
      </c>
    </row>
    <row r="56" spans="1:20" ht="15.75" x14ac:dyDescent="0.25">
      <c r="A56" s="47" t="s">
        <v>130</v>
      </c>
      <c r="B56" s="93">
        <v>1.9870503200912099E+17</v>
      </c>
      <c r="C56" s="12">
        <v>5</v>
      </c>
      <c r="D56" s="12">
        <v>1987</v>
      </c>
      <c r="E56" s="12" t="s">
        <v>60</v>
      </c>
      <c r="F56" s="8" t="s">
        <v>131</v>
      </c>
      <c r="G56" s="14" t="s">
        <v>13</v>
      </c>
      <c r="H56" t="str">
        <f>LEFT(E56, SEARCH(",",E56)-1)</f>
        <v>III/c</v>
      </c>
      <c r="I56">
        <v>55</v>
      </c>
      <c r="J56" t="str">
        <f t="shared" si="0"/>
        <v>DEDY HERMAWAN, S.A.P.</v>
      </c>
      <c r="K56" t="str">
        <f t="shared" si="1"/>
        <v>198705032009121000</v>
      </c>
      <c r="L56" t="str">
        <f t="shared" si="2"/>
        <v>1</v>
      </c>
      <c r="N56">
        <v>4</v>
      </c>
      <c r="O56">
        <v>1</v>
      </c>
      <c r="P56">
        <f>INDEX(Sheet2!A:A, MATCH(F56, Sheet2!B:B, 0))</f>
        <v>31</v>
      </c>
      <c r="Q56">
        <v>2</v>
      </c>
      <c r="R56">
        <f>INDEX(Sheet3!A:A, MATCH(G56, Sheet3!B:B, 0))</f>
        <v>4</v>
      </c>
      <c r="S56" s="121" t="s">
        <v>432</v>
      </c>
      <c r="T56" t="str">
        <f t="shared" si="3"/>
        <v>198705032009121000.jpg</v>
      </c>
    </row>
    <row r="57" spans="1:20" ht="15.75" x14ac:dyDescent="0.25">
      <c r="A57" s="10" t="s">
        <v>132</v>
      </c>
      <c r="B57" s="93">
        <v>1.98205182008012E+17</v>
      </c>
      <c r="C57" s="12">
        <v>5</v>
      </c>
      <c r="D57" s="12">
        <v>1982</v>
      </c>
      <c r="E57" s="12" t="s">
        <v>133</v>
      </c>
      <c r="F57" s="13" t="s">
        <v>12</v>
      </c>
      <c r="G57" s="14" t="s">
        <v>13</v>
      </c>
      <c r="H57" t="str">
        <f>LEFT(E57, SEARCH(",",E57)-1)</f>
        <v>III/c</v>
      </c>
      <c r="I57">
        <v>56</v>
      </c>
      <c r="J57" t="str">
        <f t="shared" si="0"/>
        <v>TRIANI MEILANI, SAP.</v>
      </c>
      <c r="K57" t="str">
        <f t="shared" si="1"/>
        <v>198205182008012000</v>
      </c>
      <c r="L57" t="str">
        <f t="shared" si="2"/>
        <v>2</v>
      </c>
      <c r="N57">
        <v>4</v>
      </c>
      <c r="O57">
        <v>1</v>
      </c>
      <c r="P57">
        <f>INDEX(Sheet2!A:A, MATCH(F57, Sheet2!B:B, 0))</f>
        <v>4</v>
      </c>
      <c r="Q57">
        <v>2</v>
      </c>
      <c r="R57">
        <f>INDEX(Sheet3!A:A, MATCH(G57, Sheet3!B:B, 0))</f>
        <v>4</v>
      </c>
      <c r="S57" s="121" t="s">
        <v>432</v>
      </c>
      <c r="T57" t="str">
        <f t="shared" si="3"/>
        <v>198205182008012000.jpg</v>
      </c>
    </row>
    <row r="58" spans="1:20" ht="15.75" x14ac:dyDescent="0.25">
      <c r="A58" s="19" t="s">
        <v>134</v>
      </c>
      <c r="B58" s="84" t="s">
        <v>369</v>
      </c>
      <c r="C58" s="12">
        <v>10</v>
      </c>
      <c r="D58" s="12">
        <v>1994</v>
      </c>
      <c r="E58" s="12" t="s">
        <v>27</v>
      </c>
      <c r="F58" s="13" t="s">
        <v>12</v>
      </c>
      <c r="G58" s="48" t="s">
        <v>13</v>
      </c>
      <c r="H58" t="str">
        <f>LEFT(E58, SEARCH(",",E58)-1)</f>
        <v>III/b</v>
      </c>
      <c r="I58">
        <v>57</v>
      </c>
      <c r="J58" t="str">
        <f t="shared" si="0"/>
        <v>NORIN MUSTIKA RAHADIRI ABHESEKA, S.I.P.</v>
      </c>
      <c r="K58" t="str">
        <f t="shared" si="1"/>
        <v>199410262020122007</v>
      </c>
      <c r="L58" t="str">
        <f t="shared" si="2"/>
        <v>2</v>
      </c>
      <c r="N58">
        <v>4</v>
      </c>
      <c r="O58">
        <v>1</v>
      </c>
      <c r="P58">
        <f>INDEX(Sheet2!A:A, MATCH(F58, Sheet2!B:B, 0))</f>
        <v>4</v>
      </c>
      <c r="Q58">
        <v>2</v>
      </c>
      <c r="R58">
        <f>INDEX(Sheet3!A:A, MATCH(G58, Sheet3!B:B, 0))</f>
        <v>4</v>
      </c>
      <c r="S58" s="121" t="s">
        <v>432</v>
      </c>
      <c r="T58" t="str">
        <f t="shared" si="3"/>
        <v>199410262020122007.jpg</v>
      </c>
    </row>
    <row r="59" spans="1:20" ht="15.75" x14ac:dyDescent="0.25">
      <c r="A59" s="10" t="s">
        <v>135</v>
      </c>
      <c r="B59" s="85" t="s">
        <v>370</v>
      </c>
      <c r="C59" s="12">
        <v>2</v>
      </c>
      <c r="D59" s="12">
        <v>1997</v>
      </c>
      <c r="E59" s="12" t="s">
        <v>136</v>
      </c>
      <c r="F59" s="13" t="s">
        <v>12</v>
      </c>
      <c r="G59" s="14" t="s">
        <v>13</v>
      </c>
      <c r="H59" t="str">
        <f>LEFT(E59, SEARCH(",",E59)-1)</f>
        <v>III/b</v>
      </c>
      <c r="I59">
        <v>58</v>
      </c>
      <c r="J59" t="str">
        <f t="shared" si="0"/>
        <v>HANKENINA DEAFINOLA, S.I.P</v>
      </c>
      <c r="K59" t="str">
        <f t="shared" si="1"/>
        <v>199702052022032010</v>
      </c>
      <c r="L59" t="str">
        <f t="shared" si="2"/>
        <v>2</v>
      </c>
      <c r="N59">
        <v>4</v>
      </c>
      <c r="O59">
        <v>1</v>
      </c>
      <c r="P59">
        <f>INDEX(Sheet2!A:A, MATCH(F59, Sheet2!B:B, 0))</f>
        <v>4</v>
      </c>
      <c r="Q59">
        <v>2</v>
      </c>
      <c r="R59">
        <f>INDEX(Sheet3!A:A, MATCH(G59, Sheet3!B:B, 0))</f>
        <v>4</v>
      </c>
      <c r="S59" s="121" t="s">
        <v>432</v>
      </c>
      <c r="T59" t="str">
        <f t="shared" si="3"/>
        <v>199702052022032010.jpg</v>
      </c>
    </row>
    <row r="60" spans="1:20" ht="15.75" x14ac:dyDescent="0.25">
      <c r="A60" s="10" t="s">
        <v>137</v>
      </c>
      <c r="B60" s="85" t="s">
        <v>371</v>
      </c>
      <c r="C60" s="12">
        <v>10</v>
      </c>
      <c r="D60" s="12">
        <v>1996</v>
      </c>
      <c r="E60" s="12" t="s">
        <v>27</v>
      </c>
      <c r="F60" s="13" t="s">
        <v>12</v>
      </c>
      <c r="G60" s="14" t="s">
        <v>13</v>
      </c>
      <c r="H60" t="str">
        <f>LEFT(E60, SEARCH(",",E60)-1)</f>
        <v>III/b</v>
      </c>
      <c r="I60">
        <v>59</v>
      </c>
      <c r="J60" t="str">
        <f t="shared" si="0"/>
        <v>MUHAMMAD AJI SUKMA, S.M.</v>
      </c>
      <c r="K60" t="str">
        <f t="shared" si="1"/>
        <v>199610232020121005</v>
      </c>
      <c r="L60" t="str">
        <f t="shared" si="2"/>
        <v>1</v>
      </c>
      <c r="N60">
        <v>4</v>
      </c>
      <c r="O60">
        <v>1</v>
      </c>
      <c r="P60">
        <f>INDEX(Sheet2!A:A, MATCH(F60, Sheet2!B:B, 0))</f>
        <v>4</v>
      </c>
      <c r="Q60">
        <v>2</v>
      </c>
      <c r="R60">
        <f>INDEX(Sheet3!A:A, MATCH(G60, Sheet3!B:B, 0))</f>
        <v>4</v>
      </c>
      <c r="S60" s="121" t="s">
        <v>432</v>
      </c>
      <c r="T60" t="str">
        <f t="shared" si="3"/>
        <v>199610232020121005.jpg</v>
      </c>
    </row>
    <row r="61" spans="1:20" ht="15.75" x14ac:dyDescent="0.25">
      <c r="A61" s="10" t="s">
        <v>138</v>
      </c>
      <c r="B61" s="93">
        <v>1.99812032022032E+17</v>
      </c>
      <c r="C61" s="12">
        <v>12</v>
      </c>
      <c r="D61" s="12">
        <v>1998</v>
      </c>
      <c r="E61" s="12" t="s">
        <v>29</v>
      </c>
      <c r="F61" s="13" t="s">
        <v>12</v>
      </c>
      <c r="G61" s="14" t="s">
        <v>13</v>
      </c>
      <c r="H61" t="str">
        <f>LEFT(E61, SEARCH(",",E61)-1)</f>
        <v>III/b</v>
      </c>
      <c r="I61">
        <v>60</v>
      </c>
      <c r="J61" t="str">
        <f t="shared" si="0"/>
        <v>DHEA APTA MONICA, S.A.P</v>
      </c>
      <c r="K61" t="str">
        <f t="shared" si="1"/>
        <v>199812032022032000</v>
      </c>
      <c r="L61" t="str">
        <f t="shared" si="2"/>
        <v>2</v>
      </c>
      <c r="N61">
        <v>4</v>
      </c>
      <c r="O61">
        <v>1</v>
      </c>
      <c r="P61">
        <f>INDEX(Sheet2!A:A, MATCH(F61, Sheet2!B:B, 0))</f>
        <v>4</v>
      </c>
      <c r="Q61">
        <v>2</v>
      </c>
      <c r="R61">
        <f>INDEX(Sheet3!A:A, MATCH(G61, Sheet3!B:B, 0))</f>
        <v>4</v>
      </c>
      <c r="S61" s="121" t="s">
        <v>432</v>
      </c>
      <c r="T61" t="str">
        <f t="shared" si="3"/>
        <v>199812032022032000.jpg</v>
      </c>
    </row>
    <row r="62" spans="1:20" ht="15.75" x14ac:dyDescent="0.25">
      <c r="A62" s="10" t="s">
        <v>139</v>
      </c>
      <c r="B62" s="93">
        <v>1.99702262022032E+17</v>
      </c>
      <c r="C62" s="12">
        <v>2</v>
      </c>
      <c r="D62" s="12">
        <v>1997</v>
      </c>
      <c r="E62" s="12" t="s">
        <v>140</v>
      </c>
      <c r="F62" s="13" t="s">
        <v>12</v>
      </c>
      <c r="G62" s="14" t="s">
        <v>13</v>
      </c>
      <c r="H62" t="str">
        <f>LEFT(E62, SEARCH(",",E62)-1)</f>
        <v>III/b</v>
      </c>
      <c r="I62">
        <v>61</v>
      </c>
      <c r="J62" t="str">
        <f t="shared" si="0"/>
        <v>LAILYTA KHAIRINNISA, S.M</v>
      </c>
      <c r="K62" t="str">
        <f t="shared" si="1"/>
        <v>199702262022032000</v>
      </c>
      <c r="L62" t="str">
        <f t="shared" si="2"/>
        <v>2</v>
      </c>
      <c r="N62">
        <v>4</v>
      </c>
      <c r="O62">
        <v>1</v>
      </c>
      <c r="P62">
        <f>INDEX(Sheet2!A:A, MATCH(F62, Sheet2!B:B, 0))</f>
        <v>4</v>
      </c>
      <c r="Q62">
        <v>2</v>
      </c>
      <c r="R62">
        <f>INDEX(Sheet3!A:A, MATCH(G62, Sheet3!B:B, 0))</f>
        <v>4</v>
      </c>
      <c r="S62" s="121" t="s">
        <v>432</v>
      </c>
      <c r="T62" t="str">
        <f t="shared" si="3"/>
        <v>199702262022032000.jpg</v>
      </c>
    </row>
    <row r="63" spans="1:20" ht="15.75" x14ac:dyDescent="0.25">
      <c r="A63" s="40" t="s">
        <v>141</v>
      </c>
      <c r="B63" s="98" t="s">
        <v>372</v>
      </c>
      <c r="C63" s="39">
        <v>8</v>
      </c>
      <c r="D63" s="39">
        <v>1995</v>
      </c>
      <c r="E63" s="12" t="s">
        <v>142</v>
      </c>
      <c r="F63" s="13" t="s">
        <v>12</v>
      </c>
      <c r="G63" s="41" t="s">
        <v>13</v>
      </c>
      <c r="H63" t="str">
        <f>LEFT(E63, SEARCH(",",E63)-1)</f>
        <v>III/b</v>
      </c>
      <c r="I63">
        <v>62</v>
      </c>
      <c r="J63" t="str">
        <f t="shared" si="0"/>
        <v>MUHAMMAD CHANDRA ADIWIGUNA, S.M.</v>
      </c>
      <c r="K63" t="str">
        <f t="shared" si="1"/>
        <v>199508062020121005</v>
      </c>
      <c r="L63" t="str">
        <f t="shared" si="2"/>
        <v>1</v>
      </c>
      <c r="N63">
        <v>4</v>
      </c>
      <c r="O63">
        <v>1</v>
      </c>
      <c r="P63">
        <f>INDEX(Sheet2!A:A, MATCH(F63, Sheet2!B:B, 0))</f>
        <v>4</v>
      </c>
      <c r="Q63">
        <v>2</v>
      </c>
      <c r="R63">
        <f>INDEX(Sheet3!A:A, MATCH(G63, Sheet3!B:B, 0))</f>
        <v>4</v>
      </c>
      <c r="S63" s="121" t="s">
        <v>432</v>
      </c>
      <c r="T63" t="str">
        <f t="shared" si="3"/>
        <v>199508062020121005.jpg</v>
      </c>
    </row>
    <row r="64" spans="1:20" ht="15.75" x14ac:dyDescent="0.25">
      <c r="A64" s="10" t="s">
        <v>143</v>
      </c>
      <c r="B64" s="88">
        <v>1.9930108201503101E+17</v>
      </c>
      <c r="C64" s="11">
        <v>1</v>
      </c>
      <c r="D64" s="11">
        <v>1993</v>
      </c>
      <c r="E64" s="12" t="s">
        <v>142</v>
      </c>
      <c r="F64" s="13" t="s">
        <v>144</v>
      </c>
      <c r="G64" s="49" t="s">
        <v>20</v>
      </c>
      <c r="H64" t="str">
        <f>LEFT(E64, SEARCH(",",E64)-1)</f>
        <v>III/b</v>
      </c>
      <c r="I64">
        <v>63</v>
      </c>
      <c r="J64" t="str">
        <f t="shared" si="0"/>
        <v>AHMAD YURIYANTO, S.A.P</v>
      </c>
      <c r="K64" t="str">
        <f t="shared" si="1"/>
        <v>199301082015031000</v>
      </c>
      <c r="L64" t="str">
        <f t="shared" si="2"/>
        <v>1</v>
      </c>
      <c r="N64">
        <v>4</v>
      </c>
      <c r="O64">
        <v>1</v>
      </c>
      <c r="P64">
        <f>INDEX(Sheet2!A:A, MATCH(F64, Sheet2!B:B, 0))</f>
        <v>32</v>
      </c>
      <c r="Q64">
        <v>2</v>
      </c>
      <c r="R64">
        <f>INDEX(Sheet3!A:A, MATCH(G64, Sheet3!B:B, 0))</f>
        <v>5</v>
      </c>
      <c r="S64" s="121" t="s">
        <v>432</v>
      </c>
      <c r="T64" t="str">
        <f t="shared" si="3"/>
        <v>199301082015031000.jpg</v>
      </c>
    </row>
    <row r="65" spans="1:20" ht="15.75" x14ac:dyDescent="0.25">
      <c r="A65" s="10" t="s">
        <v>145</v>
      </c>
      <c r="B65" s="93">
        <v>1.9790612201402099E+17</v>
      </c>
      <c r="C65" s="12">
        <v>6</v>
      </c>
      <c r="D65" s="12">
        <v>1979</v>
      </c>
      <c r="E65" s="12" t="s">
        <v>56</v>
      </c>
      <c r="F65" s="13" t="s">
        <v>146</v>
      </c>
      <c r="G65" s="14" t="s">
        <v>20</v>
      </c>
      <c r="H65" t="str">
        <f>LEFT(E65, SEARCH(",",E65)-1)</f>
        <v>III/b</v>
      </c>
      <c r="I65">
        <v>64</v>
      </c>
      <c r="J65" t="str">
        <f t="shared" si="0"/>
        <v>JUNIARTO SETYO BUDHI, A.Md</v>
      </c>
      <c r="K65" t="str">
        <f t="shared" si="1"/>
        <v>197906122014021000</v>
      </c>
      <c r="L65" t="str">
        <f t="shared" si="2"/>
        <v>1</v>
      </c>
      <c r="N65">
        <v>4</v>
      </c>
      <c r="O65">
        <v>1</v>
      </c>
      <c r="P65">
        <f>INDEX(Sheet2!A:A, MATCH(F65, Sheet2!B:B, 0))</f>
        <v>33</v>
      </c>
      <c r="Q65">
        <v>2</v>
      </c>
      <c r="R65">
        <f>INDEX(Sheet3!A:A, MATCH(G65, Sheet3!B:B, 0))</f>
        <v>5</v>
      </c>
      <c r="S65" s="121" t="s">
        <v>432</v>
      </c>
      <c r="T65" t="str">
        <f t="shared" si="3"/>
        <v>197906122014021000.jpg</v>
      </c>
    </row>
    <row r="66" spans="1:20" ht="15.75" x14ac:dyDescent="0.25">
      <c r="A66" s="13" t="s">
        <v>147</v>
      </c>
      <c r="B66" s="93">
        <v>1.9781003200912099E+17</v>
      </c>
      <c r="C66" s="12">
        <v>10</v>
      </c>
      <c r="D66" s="12">
        <v>1978</v>
      </c>
      <c r="E66" s="12" t="s">
        <v>148</v>
      </c>
      <c r="F66" s="13" t="s">
        <v>12</v>
      </c>
      <c r="G66" s="14" t="s">
        <v>13</v>
      </c>
      <c r="H66" t="str">
        <f>LEFT(E66, SEARCH(",",E66)-1)</f>
        <v>III/d</v>
      </c>
      <c r="I66">
        <v>65</v>
      </c>
      <c r="J66" t="str">
        <f t="shared" si="0"/>
        <v>DIAS TRIYADI, SE</v>
      </c>
      <c r="K66" t="str">
        <f t="shared" si="1"/>
        <v>197810032009121000</v>
      </c>
      <c r="L66" t="str">
        <f t="shared" si="2"/>
        <v>1</v>
      </c>
      <c r="N66">
        <v>4</v>
      </c>
      <c r="O66">
        <v>1</v>
      </c>
      <c r="P66">
        <f>INDEX(Sheet2!A:A, MATCH(F66, Sheet2!B:B, 0))</f>
        <v>4</v>
      </c>
      <c r="Q66">
        <v>2</v>
      </c>
      <c r="R66">
        <f>INDEX(Sheet3!A:A, MATCH(G66, Sheet3!B:B, 0))</f>
        <v>4</v>
      </c>
      <c r="S66" s="121" t="s">
        <v>432</v>
      </c>
      <c r="T66" t="str">
        <f t="shared" si="3"/>
        <v>197810032009121000.jpg</v>
      </c>
    </row>
    <row r="67" spans="1:20" ht="15.75" x14ac:dyDescent="0.25">
      <c r="A67" s="50" t="s">
        <v>149</v>
      </c>
      <c r="B67" s="99">
        <v>1.9690618199203101E+17</v>
      </c>
      <c r="C67" s="51">
        <v>6</v>
      </c>
      <c r="D67" s="51">
        <v>1969</v>
      </c>
      <c r="E67" s="39" t="s">
        <v>150</v>
      </c>
      <c r="F67" s="4" t="s">
        <v>151</v>
      </c>
      <c r="G67" s="41" t="s">
        <v>76</v>
      </c>
      <c r="H67" t="str">
        <f>LEFT(E67, SEARCH(",",E67)-1)</f>
        <v>III/b</v>
      </c>
      <c r="I67">
        <v>66</v>
      </c>
      <c r="J67" t="str">
        <f t="shared" ref="J67:J130" si="4">A67</f>
        <v>BADARNO</v>
      </c>
      <c r="K67" t="str">
        <f t="shared" ref="K67:K130" si="5">""&amp;B67</f>
        <v>196906181992031000</v>
      </c>
      <c r="L67" t="str">
        <f t="shared" ref="L67:L130" si="6">LEFT(RIGHT(K67, 4), 1)</f>
        <v>1</v>
      </c>
      <c r="N67">
        <v>4</v>
      </c>
      <c r="O67">
        <v>1</v>
      </c>
      <c r="P67">
        <f>INDEX(Sheet2!A:A, MATCH(F67, Sheet2!B:B, 0))</f>
        <v>34</v>
      </c>
      <c r="Q67">
        <v>2</v>
      </c>
      <c r="R67">
        <f>INDEX(Sheet3!A:A, MATCH(G67, Sheet3!B:B, 0))</f>
        <v>6</v>
      </c>
      <c r="S67" s="121" t="s">
        <v>432</v>
      </c>
      <c r="T67" t="str">
        <f t="shared" ref="T67:T130" si="7">CONCATENATE(K67, ".jpg")</f>
        <v>196906181992031000.jpg</v>
      </c>
    </row>
    <row r="68" spans="1:20" ht="15.75" x14ac:dyDescent="0.25">
      <c r="A68" s="13" t="s">
        <v>152</v>
      </c>
      <c r="B68" s="81">
        <v>1.9780107199902099E+17</v>
      </c>
      <c r="C68" s="11">
        <v>1</v>
      </c>
      <c r="D68" s="11">
        <v>1978</v>
      </c>
      <c r="E68" s="12" t="s">
        <v>153</v>
      </c>
      <c r="F68" s="13" t="s">
        <v>151</v>
      </c>
      <c r="G68" s="14" t="s">
        <v>76</v>
      </c>
      <c r="H68" t="str">
        <f>LEFT(E68, SEARCH(",",E68)-1)</f>
        <v>III/b</v>
      </c>
      <c r="I68">
        <v>67</v>
      </c>
      <c r="J68" t="str">
        <f t="shared" si="4"/>
        <v>SUTARTO</v>
      </c>
      <c r="K68" t="str">
        <f t="shared" si="5"/>
        <v>197801071999021000</v>
      </c>
      <c r="L68" t="str">
        <f t="shared" si="6"/>
        <v>1</v>
      </c>
      <c r="N68">
        <v>4</v>
      </c>
      <c r="O68">
        <v>1</v>
      </c>
      <c r="P68">
        <f>INDEX(Sheet2!A:A, MATCH(F68, Sheet2!B:B, 0))</f>
        <v>34</v>
      </c>
      <c r="Q68">
        <v>2</v>
      </c>
      <c r="R68">
        <f>INDEX(Sheet3!A:A, MATCH(G68, Sheet3!B:B, 0))</f>
        <v>6</v>
      </c>
      <c r="S68" s="121" t="s">
        <v>432</v>
      </c>
      <c r="T68" t="str">
        <f t="shared" si="7"/>
        <v>197801071999021000.jpg</v>
      </c>
    </row>
    <row r="69" spans="1:20" ht="15.75" x14ac:dyDescent="0.25">
      <c r="A69" s="10" t="s">
        <v>154</v>
      </c>
      <c r="B69" s="93">
        <v>1.9950311201902202E+17</v>
      </c>
      <c r="C69" s="12">
        <v>3</v>
      </c>
      <c r="D69" s="12">
        <v>1995</v>
      </c>
      <c r="E69" s="12" t="s">
        <v>155</v>
      </c>
      <c r="F69" s="13" t="s">
        <v>23</v>
      </c>
      <c r="G69" s="14" t="s">
        <v>13</v>
      </c>
      <c r="H69" t="str">
        <f>E69</f>
        <v xml:space="preserve"> III/b</v>
      </c>
      <c r="I69">
        <v>68</v>
      </c>
      <c r="J69" t="str">
        <f t="shared" si="4"/>
        <v>FATIMA HANA FITRIATI, S.I.P.</v>
      </c>
      <c r="K69" t="str">
        <f t="shared" si="5"/>
        <v>199503112019022000</v>
      </c>
      <c r="L69" t="str">
        <f t="shared" si="6"/>
        <v>2</v>
      </c>
      <c r="N69">
        <v>4</v>
      </c>
      <c r="O69">
        <v>1</v>
      </c>
      <c r="P69">
        <f>INDEX(Sheet2!A:A, MATCH(F69, Sheet2!B:B, 0))</f>
        <v>7</v>
      </c>
      <c r="Q69">
        <v>2</v>
      </c>
      <c r="R69">
        <f>INDEX(Sheet3!A:A, MATCH(G69, Sheet3!B:B, 0))</f>
        <v>4</v>
      </c>
      <c r="S69" s="121" t="s">
        <v>432</v>
      </c>
      <c r="T69" t="str">
        <f t="shared" si="7"/>
        <v>199503112019022000.jpg</v>
      </c>
    </row>
    <row r="70" spans="1:20" ht="15.75" x14ac:dyDescent="0.25">
      <c r="A70" s="10" t="s">
        <v>156</v>
      </c>
      <c r="B70" s="93">
        <v>1.99209092024212E+17</v>
      </c>
      <c r="C70" s="12">
        <v>9</v>
      </c>
      <c r="D70" s="12">
        <v>1992</v>
      </c>
      <c r="E70" s="12" t="s">
        <v>65</v>
      </c>
      <c r="F70" s="13" t="s">
        <v>66</v>
      </c>
      <c r="G70" s="14" t="s">
        <v>20</v>
      </c>
      <c r="H70" t="str">
        <f>E70</f>
        <v>VII</v>
      </c>
      <c r="I70">
        <v>69</v>
      </c>
      <c r="J70" t="str">
        <f t="shared" si="4"/>
        <v>LIA BUNYATI, A.Md.A.Pkt</v>
      </c>
      <c r="K70" t="str">
        <f t="shared" si="5"/>
        <v>199209092024212000</v>
      </c>
      <c r="L70" t="str">
        <f t="shared" si="6"/>
        <v>2</v>
      </c>
      <c r="N70">
        <v>4</v>
      </c>
      <c r="O70">
        <v>2</v>
      </c>
      <c r="P70">
        <f>INDEX(Sheet2!A:A, MATCH(F70, Sheet2!B:B, 0))</f>
        <v>17</v>
      </c>
      <c r="Q70">
        <v>2</v>
      </c>
      <c r="R70">
        <f>INDEX(Sheet3!A:A, MATCH(G70, Sheet3!B:B, 0))</f>
        <v>5</v>
      </c>
      <c r="S70" s="121" t="s">
        <v>432</v>
      </c>
      <c r="T70" t="str">
        <f t="shared" si="7"/>
        <v>199209092024212000.jpg</v>
      </c>
    </row>
    <row r="71" spans="1:20" ht="15.75" x14ac:dyDescent="0.25">
      <c r="A71" s="10" t="s">
        <v>157</v>
      </c>
      <c r="B71" s="93">
        <v>1.99606062023212E+17</v>
      </c>
      <c r="C71" s="12">
        <v>6</v>
      </c>
      <c r="D71" s="12">
        <v>1996</v>
      </c>
      <c r="E71" s="12" t="s">
        <v>65</v>
      </c>
      <c r="F71" s="13" t="s">
        <v>66</v>
      </c>
      <c r="G71" s="14" t="s">
        <v>20</v>
      </c>
      <c r="H71" t="str">
        <f>E71</f>
        <v>VII</v>
      </c>
      <c r="I71">
        <v>70</v>
      </c>
      <c r="J71" t="str">
        <f t="shared" si="4"/>
        <v>NDARI WAHYUNINGSIH, A.Md.Sek.</v>
      </c>
      <c r="K71" t="str">
        <f t="shared" si="5"/>
        <v>199606062023212000</v>
      </c>
      <c r="L71" t="str">
        <f t="shared" si="6"/>
        <v>2</v>
      </c>
      <c r="N71">
        <v>4</v>
      </c>
      <c r="O71">
        <v>2</v>
      </c>
      <c r="P71">
        <f>INDEX(Sheet2!A:A, MATCH(F71, Sheet2!B:B, 0))</f>
        <v>17</v>
      </c>
      <c r="Q71">
        <v>2</v>
      </c>
      <c r="R71">
        <f>INDEX(Sheet3!A:A, MATCH(G71, Sheet3!B:B, 0))</f>
        <v>5</v>
      </c>
      <c r="S71" s="121" t="s">
        <v>432</v>
      </c>
      <c r="T71" t="str">
        <f t="shared" si="7"/>
        <v>199606062023212000.jpg</v>
      </c>
    </row>
    <row r="72" spans="1:20" ht="18.75" customHeight="1" x14ac:dyDescent="0.25">
      <c r="A72" s="10" t="s">
        <v>158</v>
      </c>
      <c r="B72" s="95" t="s">
        <v>373</v>
      </c>
      <c r="C72" s="12">
        <v>1</v>
      </c>
      <c r="D72" s="12">
        <v>1997</v>
      </c>
      <c r="E72" s="12" t="s">
        <v>65</v>
      </c>
      <c r="F72" s="13" t="s">
        <v>66</v>
      </c>
      <c r="G72" s="14" t="s">
        <v>20</v>
      </c>
      <c r="H72" t="str">
        <f>E72</f>
        <v>VII</v>
      </c>
      <c r="I72">
        <v>71</v>
      </c>
      <c r="J72" t="str">
        <f t="shared" si="4"/>
        <v xml:space="preserve">WIJI LESTARI, A.Md.Kom.
</v>
      </c>
      <c r="K72" t="str">
        <f t="shared" si="5"/>
        <v xml:space="preserve">199701072024212028
</v>
      </c>
      <c r="L72" t="str">
        <f t="shared" si="6"/>
        <v>0</v>
      </c>
      <c r="N72">
        <v>4</v>
      </c>
      <c r="O72">
        <v>2</v>
      </c>
      <c r="P72">
        <f>INDEX(Sheet2!A:A, MATCH(F72, Sheet2!B:B, 0))</f>
        <v>17</v>
      </c>
      <c r="Q72">
        <v>2</v>
      </c>
      <c r="R72">
        <f>INDEX(Sheet3!A:A, MATCH(G72, Sheet3!B:B, 0))</f>
        <v>5</v>
      </c>
      <c r="S72" s="121" t="s">
        <v>432</v>
      </c>
      <c r="T72" t="str">
        <f t="shared" si="7"/>
        <v>199701072024212028
.jpg</v>
      </c>
    </row>
    <row r="73" spans="1:20" ht="15.75" x14ac:dyDescent="0.25">
      <c r="A73" s="13" t="s">
        <v>159</v>
      </c>
      <c r="B73" s="85" t="s">
        <v>374</v>
      </c>
      <c r="C73" s="12">
        <v>10</v>
      </c>
      <c r="D73" s="12">
        <v>1981</v>
      </c>
      <c r="E73" s="12" t="s">
        <v>65</v>
      </c>
      <c r="F73" s="13" t="s">
        <v>160</v>
      </c>
      <c r="G73" s="14" t="s">
        <v>20</v>
      </c>
      <c r="H73" t="str">
        <f>E73</f>
        <v>VII</v>
      </c>
      <c r="I73">
        <v>72</v>
      </c>
      <c r="J73" t="str">
        <f t="shared" si="4"/>
        <v xml:space="preserve">SITI ZUNTIKHANAH, A.Md.
</v>
      </c>
      <c r="K73" t="str">
        <f t="shared" si="5"/>
        <v>198102282024212007</v>
      </c>
      <c r="L73" t="str">
        <f t="shared" si="6"/>
        <v>2</v>
      </c>
      <c r="N73">
        <v>4</v>
      </c>
      <c r="O73">
        <v>2</v>
      </c>
      <c r="P73">
        <f>INDEX(Sheet2!A:A, MATCH(F73, Sheet2!B:B, 0))</f>
        <v>35</v>
      </c>
      <c r="Q73">
        <v>2</v>
      </c>
      <c r="R73">
        <f>INDEX(Sheet3!A:A, MATCH(G73, Sheet3!B:B, 0))</f>
        <v>5</v>
      </c>
      <c r="S73" s="121" t="s">
        <v>432</v>
      </c>
      <c r="T73" t="str">
        <f t="shared" si="7"/>
        <v>198102282024212007.jpg</v>
      </c>
    </row>
    <row r="74" spans="1:20" ht="15.75" x14ac:dyDescent="0.25">
      <c r="A74" s="13" t="s">
        <v>161</v>
      </c>
      <c r="B74" s="100" t="s">
        <v>408</v>
      </c>
      <c r="C74" s="12">
        <v>8</v>
      </c>
      <c r="D74" s="12">
        <v>1981</v>
      </c>
      <c r="E74" s="12" t="s">
        <v>65</v>
      </c>
      <c r="F74" s="13" t="s">
        <v>160</v>
      </c>
      <c r="G74" s="14" t="s">
        <v>20</v>
      </c>
      <c r="H74" t="str">
        <f>E74</f>
        <v>VII</v>
      </c>
      <c r="I74">
        <v>73</v>
      </c>
      <c r="J74" t="str">
        <f t="shared" si="4"/>
        <v>TOFIK RIYADI, A.Md.</v>
      </c>
      <c r="K74" t="str">
        <f t="shared" si="5"/>
        <v>198108142024211002</v>
      </c>
      <c r="L74" t="str">
        <f t="shared" si="6"/>
        <v>1</v>
      </c>
      <c r="N74">
        <v>4</v>
      </c>
      <c r="O74">
        <v>2</v>
      </c>
      <c r="P74">
        <f>INDEX(Sheet2!A:A, MATCH(F74, Sheet2!B:B, 0))</f>
        <v>35</v>
      </c>
      <c r="Q74">
        <v>2</v>
      </c>
      <c r="R74">
        <f>INDEX(Sheet3!A:A, MATCH(G74, Sheet3!B:B, 0))</f>
        <v>5</v>
      </c>
      <c r="S74" s="121" t="s">
        <v>432</v>
      </c>
      <c r="T74" t="str">
        <f t="shared" si="7"/>
        <v>198108142024211002.jpg</v>
      </c>
    </row>
    <row r="75" spans="1:20" ht="15.75" x14ac:dyDescent="0.25">
      <c r="A75" s="10" t="s">
        <v>162</v>
      </c>
      <c r="B75" s="93">
        <v>1.99408012023212E+17</v>
      </c>
      <c r="C75" s="12">
        <v>8</v>
      </c>
      <c r="D75" s="12">
        <v>1994</v>
      </c>
      <c r="E75" s="12" t="s">
        <v>163</v>
      </c>
      <c r="F75" s="13" t="s">
        <v>100</v>
      </c>
      <c r="G75" s="14" t="s">
        <v>20</v>
      </c>
      <c r="H75" t="str">
        <f>E75</f>
        <v xml:space="preserve">VII </v>
      </c>
      <c r="I75">
        <v>74</v>
      </c>
      <c r="J75" t="str">
        <f t="shared" si="4"/>
        <v>INA RESTI FAUZI, A.Md</v>
      </c>
      <c r="K75" t="str">
        <f t="shared" si="5"/>
        <v>199408012023212000</v>
      </c>
      <c r="L75" t="str">
        <f t="shared" si="6"/>
        <v>2</v>
      </c>
      <c r="N75">
        <v>4</v>
      </c>
      <c r="O75">
        <v>2</v>
      </c>
      <c r="P75">
        <f>INDEX(Sheet2!A:A, MATCH(F75, Sheet2!B:B, 0))</f>
        <v>26</v>
      </c>
      <c r="Q75">
        <v>2</v>
      </c>
      <c r="R75">
        <f>INDEX(Sheet3!A:A, MATCH(G75, Sheet3!B:B, 0))</f>
        <v>5</v>
      </c>
      <c r="S75" s="121" t="s">
        <v>432</v>
      </c>
      <c r="T75" t="str">
        <f t="shared" si="7"/>
        <v>199408012023212000.jpg</v>
      </c>
    </row>
    <row r="76" spans="1:20" ht="15.75" x14ac:dyDescent="0.25">
      <c r="A76" s="52" t="s">
        <v>164</v>
      </c>
      <c r="B76" s="92">
        <v>1.9680127198711101E+17</v>
      </c>
      <c r="C76" s="31">
        <v>1</v>
      </c>
      <c r="D76" s="31">
        <v>1968</v>
      </c>
      <c r="E76" s="29" t="s">
        <v>165</v>
      </c>
      <c r="F76" s="30" t="s">
        <v>118</v>
      </c>
      <c r="G76" s="33" t="s">
        <v>3</v>
      </c>
      <c r="H76" t="str">
        <f>LEFT(E76, SEARCH(",",E76)-1)</f>
        <v>IV/c</v>
      </c>
      <c r="I76">
        <v>75</v>
      </c>
      <c r="J76" t="str">
        <f t="shared" si="4"/>
        <v>SUKISNA, S.H., M.M.</v>
      </c>
      <c r="K76" t="str">
        <f t="shared" si="5"/>
        <v>196801271987111000</v>
      </c>
      <c r="L76" t="str">
        <f t="shared" si="6"/>
        <v>1</v>
      </c>
      <c r="N76">
        <v>5</v>
      </c>
      <c r="O76">
        <v>1</v>
      </c>
      <c r="P76">
        <f>INDEX(Sheet2!A:A, MATCH(F76, Sheet2!B:B, 0))</f>
        <v>30</v>
      </c>
      <c r="Q76">
        <v>2</v>
      </c>
      <c r="R76">
        <f>INDEX(Sheet3!A:A, MATCH(G76, Sheet3!B:B, 0))</f>
        <v>3</v>
      </c>
      <c r="S76" s="121" t="s">
        <v>432</v>
      </c>
      <c r="T76" t="str">
        <f t="shared" si="7"/>
        <v>196801271987111000.jpg</v>
      </c>
    </row>
    <row r="77" spans="1:20" ht="15.75" x14ac:dyDescent="0.25">
      <c r="A77" s="10" t="s">
        <v>166</v>
      </c>
      <c r="B77" s="81">
        <v>1.9660611198603101E+17</v>
      </c>
      <c r="C77" s="11">
        <v>6</v>
      </c>
      <c r="D77" s="11">
        <v>1966</v>
      </c>
      <c r="E77" s="12" t="s">
        <v>45</v>
      </c>
      <c r="F77" s="13" t="s">
        <v>118</v>
      </c>
      <c r="G77" s="14" t="s">
        <v>13</v>
      </c>
      <c r="H77" t="str">
        <f>LEFT(E77, SEARCH(",",E77)-1)</f>
        <v>IV/a</v>
      </c>
      <c r="I77">
        <v>76</v>
      </c>
      <c r="J77" t="str">
        <f t="shared" si="4"/>
        <v>SRI NARIYA, S.IP</v>
      </c>
      <c r="K77" t="str">
        <f t="shared" si="5"/>
        <v>196606111986031000</v>
      </c>
      <c r="L77" t="str">
        <f t="shared" si="6"/>
        <v>1</v>
      </c>
      <c r="N77">
        <v>5</v>
      </c>
      <c r="O77">
        <v>1</v>
      </c>
      <c r="P77">
        <f>INDEX(Sheet2!A:A, MATCH(F77, Sheet2!B:B, 0))</f>
        <v>30</v>
      </c>
      <c r="Q77">
        <v>2</v>
      </c>
      <c r="R77">
        <f>INDEX(Sheet3!A:A, MATCH(G77, Sheet3!B:B, 0))</f>
        <v>4</v>
      </c>
      <c r="S77" s="121" t="s">
        <v>432</v>
      </c>
      <c r="T77" t="str">
        <f t="shared" si="7"/>
        <v>196606111986031000.jpg</v>
      </c>
    </row>
    <row r="78" spans="1:20" ht="15.75" x14ac:dyDescent="0.25">
      <c r="A78" s="10" t="s">
        <v>167</v>
      </c>
      <c r="B78" s="85" t="s">
        <v>375</v>
      </c>
      <c r="C78" s="12">
        <v>9</v>
      </c>
      <c r="D78" s="12">
        <v>1975</v>
      </c>
      <c r="E78" s="12" t="s">
        <v>168</v>
      </c>
      <c r="F78" s="13" t="s">
        <v>118</v>
      </c>
      <c r="G78" s="14" t="s">
        <v>13</v>
      </c>
      <c r="H78" t="str">
        <f>LEFT(E78, SEARCH(",",E78)-1)</f>
        <v xml:space="preserve"> IV/a</v>
      </c>
      <c r="I78">
        <v>77</v>
      </c>
      <c r="J78" t="str">
        <f t="shared" si="4"/>
        <v>TRI WIHARJANTI, S.IP</v>
      </c>
      <c r="K78" t="str">
        <f t="shared" si="5"/>
        <v>197509151998032001</v>
      </c>
      <c r="L78" t="str">
        <f t="shared" si="6"/>
        <v>2</v>
      </c>
      <c r="N78">
        <v>5</v>
      </c>
      <c r="O78">
        <v>1</v>
      </c>
      <c r="P78">
        <f>INDEX(Sheet2!A:A, MATCH(F78, Sheet2!B:B, 0))</f>
        <v>30</v>
      </c>
      <c r="Q78">
        <v>2</v>
      </c>
      <c r="R78">
        <f>INDEX(Sheet3!A:A, MATCH(G78, Sheet3!B:B, 0))</f>
        <v>4</v>
      </c>
      <c r="S78" s="121" t="s">
        <v>432</v>
      </c>
      <c r="T78" t="str">
        <f t="shared" si="7"/>
        <v>197509151998032001.jpg</v>
      </c>
    </row>
    <row r="79" spans="1:20" ht="15.75" x14ac:dyDescent="0.25">
      <c r="A79" s="10" t="s">
        <v>169</v>
      </c>
      <c r="B79" s="81">
        <v>1.96712201987112E+17</v>
      </c>
      <c r="C79" s="11">
        <v>12</v>
      </c>
      <c r="D79" s="11">
        <v>1967</v>
      </c>
      <c r="E79" s="12" t="s">
        <v>170</v>
      </c>
      <c r="F79" s="13" t="s">
        <v>118</v>
      </c>
      <c r="G79" s="14" t="s">
        <v>3</v>
      </c>
      <c r="H79" t="str">
        <f>LEFT(E79, SEARCH(",",E79)-1)</f>
        <v>IV/a</v>
      </c>
      <c r="I79">
        <v>78</v>
      </c>
      <c r="J79" t="str">
        <f t="shared" si="4"/>
        <v xml:space="preserve">KUN BUDI WURYANI, S.IP.MM </v>
      </c>
      <c r="K79" t="str">
        <f t="shared" si="5"/>
        <v>196712201987112000</v>
      </c>
      <c r="L79" t="str">
        <f t="shared" si="6"/>
        <v>2</v>
      </c>
      <c r="N79">
        <v>5</v>
      </c>
      <c r="O79">
        <v>1</v>
      </c>
      <c r="P79">
        <f>INDEX(Sheet2!A:A, MATCH(F79, Sheet2!B:B, 0))</f>
        <v>30</v>
      </c>
      <c r="Q79">
        <v>2</v>
      </c>
      <c r="R79">
        <f>INDEX(Sheet3!A:A, MATCH(G79, Sheet3!B:B, 0))</f>
        <v>3</v>
      </c>
      <c r="S79" s="121" t="s">
        <v>432</v>
      </c>
      <c r="T79" t="str">
        <f t="shared" si="7"/>
        <v>196712201987112000.jpg</v>
      </c>
    </row>
    <row r="80" spans="1:20" ht="15.75" x14ac:dyDescent="0.25">
      <c r="A80" s="19" t="s">
        <v>171</v>
      </c>
      <c r="B80" s="101">
        <v>1.97112291998032E+17</v>
      </c>
      <c r="C80" s="53">
        <v>12</v>
      </c>
      <c r="D80" s="53">
        <v>1971</v>
      </c>
      <c r="E80" s="6" t="s">
        <v>125</v>
      </c>
      <c r="F80" s="8" t="s">
        <v>118</v>
      </c>
      <c r="G80" s="9" t="s">
        <v>13</v>
      </c>
      <c r="H80" t="str">
        <f>LEFT(E80, SEARCH(",",E80)-1)</f>
        <v>IV/a</v>
      </c>
      <c r="I80">
        <v>79</v>
      </c>
      <c r="J80" t="str">
        <f t="shared" si="4"/>
        <v>ENDANG PURWATI, S.Sos</v>
      </c>
      <c r="K80" t="str">
        <f t="shared" si="5"/>
        <v>197112291998032000</v>
      </c>
      <c r="L80" t="str">
        <f t="shared" si="6"/>
        <v>2</v>
      </c>
      <c r="N80">
        <v>5</v>
      </c>
      <c r="O80">
        <v>1</v>
      </c>
      <c r="P80">
        <f>INDEX(Sheet2!A:A, MATCH(F80, Sheet2!B:B, 0))</f>
        <v>30</v>
      </c>
      <c r="Q80">
        <v>2</v>
      </c>
      <c r="R80">
        <f>INDEX(Sheet3!A:A, MATCH(G80, Sheet3!B:B, 0))</f>
        <v>4</v>
      </c>
      <c r="S80" s="121" t="s">
        <v>432</v>
      </c>
      <c r="T80" t="str">
        <f t="shared" si="7"/>
        <v>197112291998032000.jpg</v>
      </c>
    </row>
    <row r="81" spans="1:20" ht="15.75" x14ac:dyDescent="0.25">
      <c r="A81" s="10" t="s">
        <v>172</v>
      </c>
      <c r="B81" s="85" t="s">
        <v>376</v>
      </c>
      <c r="C81" s="12">
        <v>10</v>
      </c>
      <c r="D81" s="12">
        <v>1983</v>
      </c>
      <c r="E81" s="12" t="s">
        <v>173</v>
      </c>
      <c r="F81" s="13" t="s">
        <v>23</v>
      </c>
      <c r="G81" s="14" t="s">
        <v>13</v>
      </c>
      <c r="H81" t="str">
        <f>LEFT(E81, SEARCH(",",E81)-1)</f>
        <v>III/d</v>
      </c>
      <c r="I81">
        <v>80</v>
      </c>
      <c r="J81" t="str">
        <f t="shared" si="4"/>
        <v>RINI, SE</v>
      </c>
      <c r="K81" t="str">
        <f t="shared" si="5"/>
        <v>198310162002112001</v>
      </c>
      <c r="L81" t="str">
        <f t="shared" si="6"/>
        <v>2</v>
      </c>
      <c r="N81">
        <v>5</v>
      </c>
      <c r="O81">
        <v>1</v>
      </c>
      <c r="P81">
        <f>INDEX(Sheet2!A:A, MATCH(F81, Sheet2!B:B, 0))</f>
        <v>7</v>
      </c>
      <c r="Q81">
        <v>2</v>
      </c>
      <c r="R81">
        <f>INDEX(Sheet3!A:A, MATCH(G81, Sheet3!B:B, 0))</f>
        <v>4</v>
      </c>
      <c r="S81" s="121" t="s">
        <v>432</v>
      </c>
      <c r="T81" t="str">
        <f t="shared" si="7"/>
        <v>198310162002112001.jpg</v>
      </c>
    </row>
    <row r="82" spans="1:20" ht="15.75" x14ac:dyDescent="0.25">
      <c r="A82" s="13" t="s">
        <v>174</v>
      </c>
      <c r="B82" s="81">
        <v>1.9700217199203101E+17</v>
      </c>
      <c r="C82" s="11">
        <v>2</v>
      </c>
      <c r="D82" s="11">
        <v>1970</v>
      </c>
      <c r="E82" s="12" t="s">
        <v>125</v>
      </c>
      <c r="F82" s="13" t="s">
        <v>118</v>
      </c>
      <c r="G82" s="14" t="s">
        <v>13</v>
      </c>
      <c r="H82" t="str">
        <f>LEFT(E82, SEARCH(",",E82)-1)</f>
        <v>IV/a</v>
      </c>
      <c r="I82">
        <v>81</v>
      </c>
      <c r="J82" t="str">
        <f t="shared" si="4"/>
        <v>SUHARTONO, S.Sos</v>
      </c>
      <c r="K82" t="str">
        <f t="shared" si="5"/>
        <v>197002171992031000</v>
      </c>
      <c r="L82" t="str">
        <f t="shared" si="6"/>
        <v>1</v>
      </c>
      <c r="N82">
        <v>5</v>
      </c>
      <c r="O82">
        <v>1</v>
      </c>
      <c r="P82">
        <f>INDEX(Sheet2!A:A, MATCH(F82, Sheet2!B:B, 0))</f>
        <v>30</v>
      </c>
      <c r="Q82">
        <v>2</v>
      </c>
      <c r="R82">
        <f>INDEX(Sheet3!A:A, MATCH(G82, Sheet3!B:B, 0))</f>
        <v>4</v>
      </c>
      <c r="S82" s="121" t="s">
        <v>432</v>
      </c>
      <c r="T82" t="str">
        <f t="shared" si="7"/>
        <v>197002171992031000.jpg</v>
      </c>
    </row>
    <row r="83" spans="1:20" ht="15.75" x14ac:dyDescent="0.25">
      <c r="A83" s="10" t="s">
        <v>175</v>
      </c>
      <c r="B83" s="81">
        <v>1.9710711199303101E+17</v>
      </c>
      <c r="C83" s="11">
        <v>7</v>
      </c>
      <c r="D83" s="11">
        <v>1971</v>
      </c>
      <c r="E83" s="12" t="s">
        <v>176</v>
      </c>
      <c r="F83" s="13" t="s">
        <v>131</v>
      </c>
      <c r="G83" s="14" t="s">
        <v>76</v>
      </c>
      <c r="H83" t="str">
        <f>LEFT(E83, SEARCH(",",E83)-1)</f>
        <v>III/c</v>
      </c>
      <c r="I83">
        <v>82</v>
      </c>
      <c r="J83" t="str">
        <f t="shared" si="4"/>
        <v>AHMAD BUDI SUTRISNA</v>
      </c>
      <c r="K83" t="str">
        <f t="shared" si="5"/>
        <v>197107111993031000</v>
      </c>
      <c r="L83" t="str">
        <f t="shared" si="6"/>
        <v>1</v>
      </c>
      <c r="N83">
        <v>5</v>
      </c>
      <c r="O83">
        <v>1</v>
      </c>
      <c r="P83">
        <f>INDEX(Sheet2!A:A, MATCH(F83, Sheet2!B:B, 0))</f>
        <v>31</v>
      </c>
      <c r="Q83">
        <v>2</v>
      </c>
      <c r="R83">
        <f>INDEX(Sheet3!A:A, MATCH(G83, Sheet3!B:B, 0))</f>
        <v>6</v>
      </c>
      <c r="S83" s="121" t="s">
        <v>432</v>
      </c>
      <c r="T83" t="str">
        <f t="shared" si="7"/>
        <v>197107111993031000.jpg</v>
      </c>
    </row>
    <row r="84" spans="1:20" ht="15.75" x14ac:dyDescent="0.25">
      <c r="A84" s="13" t="s">
        <v>177</v>
      </c>
      <c r="B84" s="81">
        <v>1.9750727200604099E+17</v>
      </c>
      <c r="C84" s="11">
        <v>7</v>
      </c>
      <c r="D84" s="11">
        <v>1975</v>
      </c>
      <c r="E84" s="12" t="s">
        <v>178</v>
      </c>
      <c r="F84" s="13" t="s">
        <v>12</v>
      </c>
      <c r="G84" s="14" t="s">
        <v>13</v>
      </c>
      <c r="H84" t="str">
        <f>LEFT(E84, SEARCH(",",E84)-1)</f>
        <v>III/b</v>
      </c>
      <c r="I84">
        <v>83</v>
      </c>
      <c r="J84" t="str">
        <f t="shared" si="4"/>
        <v>ATHO` ZULIANTA, S.IP</v>
      </c>
      <c r="K84" t="str">
        <f t="shared" si="5"/>
        <v>197507272006041000</v>
      </c>
      <c r="L84" t="str">
        <f t="shared" si="6"/>
        <v>1</v>
      </c>
      <c r="N84">
        <v>5</v>
      </c>
      <c r="O84">
        <v>1</v>
      </c>
      <c r="P84">
        <f>INDEX(Sheet2!A:A, MATCH(F84, Sheet2!B:B, 0))</f>
        <v>4</v>
      </c>
      <c r="Q84">
        <v>2</v>
      </c>
      <c r="R84">
        <f>INDEX(Sheet3!A:A, MATCH(G84, Sheet3!B:B, 0))</f>
        <v>4</v>
      </c>
      <c r="S84" s="121" t="s">
        <v>432</v>
      </c>
      <c r="T84" t="str">
        <f t="shared" si="7"/>
        <v>197507272006041000.jpg</v>
      </c>
    </row>
    <row r="85" spans="1:20" ht="15.75" x14ac:dyDescent="0.25">
      <c r="A85" s="10" t="s">
        <v>179</v>
      </c>
      <c r="B85" s="85" t="s">
        <v>377</v>
      </c>
      <c r="C85" s="12">
        <v>12</v>
      </c>
      <c r="D85" s="12">
        <v>1995</v>
      </c>
      <c r="E85" s="12" t="s">
        <v>136</v>
      </c>
      <c r="F85" s="13" t="s">
        <v>12</v>
      </c>
      <c r="G85" s="14" t="s">
        <v>13</v>
      </c>
      <c r="H85" t="str">
        <f>LEFT(E85, SEARCH(",",E85)-1)</f>
        <v>III/b</v>
      </c>
      <c r="I85">
        <v>84</v>
      </c>
      <c r="J85" t="str">
        <f t="shared" si="4"/>
        <v>ELISA FIRDA AMALIA, S.E.</v>
      </c>
      <c r="K85" t="str">
        <f t="shared" si="5"/>
        <v>199512062020122011</v>
      </c>
      <c r="L85" t="str">
        <f t="shared" si="6"/>
        <v>2</v>
      </c>
      <c r="N85">
        <v>5</v>
      </c>
      <c r="O85">
        <v>1</v>
      </c>
      <c r="P85">
        <f>INDEX(Sheet2!A:A, MATCH(F85, Sheet2!B:B, 0))</f>
        <v>4</v>
      </c>
      <c r="Q85">
        <v>2</v>
      </c>
      <c r="R85">
        <f>INDEX(Sheet3!A:A, MATCH(G85, Sheet3!B:B, 0))</f>
        <v>4</v>
      </c>
      <c r="S85" s="121" t="s">
        <v>432</v>
      </c>
      <c r="T85" t="str">
        <f t="shared" si="7"/>
        <v>199512062020122011.jpg</v>
      </c>
    </row>
    <row r="86" spans="1:20" ht="15.75" x14ac:dyDescent="0.25">
      <c r="A86" s="13" t="s">
        <v>180</v>
      </c>
      <c r="B86" s="85" t="s">
        <v>378</v>
      </c>
      <c r="C86" s="12">
        <v>10</v>
      </c>
      <c r="D86" s="12">
        <v>1997</v>
      </c>
      <c r="E86" s="12" t="s">
        <v>136</v>
      </c>
      <c r="F86" s="13" t="s">
        <v>12</v>
      </c>
      <c r="G86" s="14" t="s">
        <v>13</v>
      </c>
      <c r="H86" t="str">
        <f>LEFT(E86, SEARCH(",",E86)-1)</f>
        <v>III/b</v>
      </c>
      <c r="I86">
        <v>85</v>
      </c>
      <c r="J86" t="str">
        <f t="shared" si="4"/>
        <v>FITRIA TAHTA MAULA, S.H.</v>
      </c>
      <c r="K86" t="str">
        <f t="shared" si="5"/>
        <v>199710072020122012</v>
      </c>
      <c r="L86" t="str">
        <f t="shared" si="6"/>
        <v>2</v>
      </c>
      <c r="N86">
        <v>5</v>
      </c>
      <c r="O86">
        <v>1</v>
      </c>
      <c r="P86">
        <f>INDEX(Sheet2!A:A, MATCH(F86, Sheet2!B:B, 0))</f>
        <v>4</v>
      </c>
      <c r="Q86">
        <v>2</v>
      </c>
      <c r="R86">
        <f>INDEX(Sheet3!A:A, MATCH(G86, Sheet3!B:B, 0))</f>
        <v>4</v>
      </c>
      <c r="S86" s="121" t="s">
        <v>432</v>
      </c>
      <c r="T86" t="str">
        <f t="shared" si="7"/>
        <v>199710072020122012.jpg</v>
      </c>
    </row>
    <row r="87" spans="1:20" ht="15.75" x14ac:dyDescent="0.25">
      <c r="A87" s="10" t="s">
        <v>181</v>
      </c>
      <c r="B87" s="85" t="s">
        <v>379</v>
      </c>
      <c r="C87" s="12">
        <v>5</v>
      </c>
      <c r="D87" s="12">
        <v>1994</v>
      </c>
      <c r="E87" s="12" t="s">
        <v>182</v>
      </c>
      <c r="F87" s="13" t="s">
        <v>12</v>
      </c>
      <c r="G87" s="14" t="s">
        <v>13</v>
      </c>
      <c r="H87" t="str">
        <f>LEFT(E87, SEARCH(",",E87)-1)</f>
        <v>III/b</v>
      </c>
      <c r="I87">
        <v>86</v>
      </c>
      <c r="J87" t="str">
        <f t="shared" si="4"/>
        <v>BAYU PRASTIANTO,S.E</v>
      </c>
      <c r="K87" t="str">
        <f t="shared" si="5"/>
        <v>199405162022031004</v>
      </c>
      <c r="L87" t="str">
        <f t="shared" si="6"/>
        <v>1</v>
      </c>
      <c r="N87">
        <v>5</v>
      </c>
      <c r="O87">
        <v>1</v>
      </c>
      <c r="P87">
        <f>INDEX(Sheet2!A:A, MATCH(F87, Sheet2!B:B, 0))</f>
        <v>4</v>
      </c>
      <c r="Q87">
        <v>2</v>
      </c>
      <c r="R87">
        <f>INDEX(Sheet3!A:A, MATCH(G87, Sheet3!B:B, 0))</f>
        <v>4</v>
      </c>
      <c r="S87" s="121" t="s">
        <v>432</v>
      </c>
      <c r="T87" t="str">
        <f t="shared" si="7"/>
        <v>199405162022031004.jpg</v>
      </c>
    </row>
    <row r="88" spans="1:20" ht="15.75" x14ac:dyDescent="0.25">
      <c r="A88" s="10" t="s">
        <v>183</v>
      </c>
      <c r="B88" s="93">
        <v>1.9740417200012099E+17</v>
      </c>
      <c r="C88" s="12">
        <v>4</v>
      </c>
      <c r="D88" s="12">
        <v>1974</v>
      </c>
      <c r="E88" s="12" t="s">
        <v>184</v>
      </c>
      <c r="F88" s="13" t="s">
        <v>144</v>
      </c>
      <c r="G88" s="14" t="s">
        <v>76</v>
      </c>
      <c r="H88" t="str">
        <f>LEFT(E88, SEARCH(",",E88)-1)</f>
        <v>III/a</v>
      </c>
      <c r="I88">
        <v>87</v>
      </c>
      <c r="J88" t="str">
        <f t="shared" si="4"/>
        <v>AMIR  NUGROHO</v>
      </c>
      <c r="K88" t="str">
        <f t="shared" si="5"/>
        <v>197404172000121000</v>
      </c>
      <c r="L88" t="str">
        <f t="shared" si="6"/>
        <v>1</v>
      </c>
      <c r="N88">
        <v>5</v>
      </c>
      <c r="O88">
        <v>1</v>
      </c>
      <c r="P88">
        <f>INDEX(Sheet2!A:A, MATCH(F88, Sheet2!B:B, 0))</f>
        <v>32</v>
      </c>
      <c r="Q88">
        <v>2</v>
      </c>
      <c r="R88">
        <f>INDEX(Sheet3!A:A, MATCH(G88, Sheet3!B:B, 0))</f>
        <v>6</v>
      </c>
      <c r="S88" s="121" t="s">
        <v>432</v>
      </c>
      <c r="T88" t="str">
        <f t="shared" si="7"/>
        <v>197404172000121000.jpg</v>
      </c>
    </row>
    <row r="89" spans="1:20" ht="15.75" x14ac:dyDescent="0.25">
      <c r="A89" s="10" t="s">
        <v>185</v>
      </c>
      <c r="B89" s="85" t="s">
        <v>380</v>
      </c>
      <c r="C89" s="12">
        <v>5</v>
      </c>
      <c r="D89" s="12">
        <v>1968</v>
      </c>
      <c r="E89" s="12" t="s">
        <v>186</v>
      </c>
      <c r="F89" s="8" t="s">
        <v>187</v>
      </c>
      <c r="G89" s="14" t="s">
        <v>13</v>
      </c>
      <c r="H89" t="str">
        <f>LEFT(E89, SEARCH(",",E89)-1)</f>
        <v>III/d</v>
      </c>
      <c r="I89">
        <v>88</v>
      </c>
      <c r="J89" t="str">
        <f t="shared" si="4"/>
        <v>SUPARGIYANTO, S.SOS</v>
      </c>
      <c r="K89" t="str">
        <f t="shared" si="5"/>
        <v>196805171996031001</v>
      </c>
      <c r="L89" t="str">
        <f t="shared" si="6"/>
        <v>1</v>
      </c>
      <c r="N89">
        <v>5</v>
      </c>
      <c r="O89">
        <v>1</v>
      </c>
      <c r="P89">
        <f>INDEX(Sheet2!A:A, MATCH(F89, Sheet2!B:B, 0))</f>
        <v>36</v>
      </c>
      <c r="Q89">
        <v>2</v>
      </c>
      <c r="R89">
        <f>INDEX(Sheet3!A:A, MATCH(G89, Sheet3!B:B, 0))</f>
        <v>4</v>
      </c>
      <c r="S89" s="121" t="s">
        <v>432</v>
      </c>
      <c r="T89" t="str">
        <f t="shared" si="7"/>
        <v>196805171996031001.jpg</v>
      </c>
    </row>
    <row r="90" spans="1:20" ht="15.75" x14ac:dyDescent="0.25">
      <c r="A90" s="19" t="s">
        <v>188</v>
      </c>
      <c r="B90" s="101">
        <v>1.9690409199803101E+17</v>
      </c>
      <c r="C90" s="53">
        <v>4</v>
      </c>
      <c r="D90" s="53">
        <v>1969</v>
      </c>
      <c r="E90" s="6" t="s">
        <v>189</v>
      </c>
      <c r="F90" s="8" t="s">
        <v>33</v>
      </c>
      <c r="G90" s="9" t="s">
        <v>20</v>
      </c>
      <c r="H90" t="str">
        <f>LEFT(E90, SEARCH(",",E90)-1)</f>
        <v>III/c</v>
      </c>
      <c r="I90">
        <v>89</v>
      </c>
      <c r="J90" t="str">
        <f t="shared" si="4"/>
        <v>PUJI AGUNG SUPADI, A.Md</v>
      </c>
      <c r="K90" t="str">
        <f t="shared" si="5"/>
        <v>196904091998031000</v>
      </c>
      <c r="L90" t="str">
        <f t="shared" si="6"/>
        <v>1</v>
      </c>
      <c r="N90">
        <v>5</v>
      </c>
      <c r="O90">
        <v>1</v>
      </c>
      <c r="P90">
        <f>INDEX(Sheet2!A:A, MATCH(F90, Sheet2!B:B, 0))</f>
        <v>9</v>
      </c>
      <c r="Q90">
        <v>2</v>
      </c>
      <c r="R90">
        <f>INDEX(Sheet3!A:A, MATCH(G90, Sheet3!B:B, 0))</f>
        <v>5</v>
      </c>
      <c r="S90" s="121" t="s">
        <v>432</v>
      </c>
      <c r="T90" t="str">
        <f t="shared" si="7"/>
        <v>196904091998031000.jpg</v>
      </c>
    </row>
    <row r="91" spans="1:20" ht="15.75" x14ac:dyDescent="0.25">
      <c r="A91" s="13" t="s">
        <v>190</v>
      </c>
      <c r="B91" s="100" t="s">
        <v>409</v>
      </c>
      <c r="C91" s="12">
        <v>8</v>
      </c>
      <c r="D91" s="12">
        <v>1992</v>
      </c>
      <c r="E91" s="12" t="s">
        <v>65</v>
      </c>
      <c r="F91" s="13" t="s">
        <v>66</v>
      </c>
      <c r="G91" s="14" t="s">
        <v>20</v>
      </c>
      <c r="H91" t="str">
        <f>E91</f>
        <v>VII</v>
      </c>
      <c r="I91">
        <v>90</v>
      </c>
      <c r="J91" t="str">
        <f t="shared" si="4"/>
        <v xml:space="preserve">RIZAL BUDIYANTO, A.Md.T.
</v>
      </c>
      <c r="K91" t="str">
        <f t="shared" si="5"/>
        <v>199208032024211019</v>
      </c>
      <c r="L91" t="str">
        <f t="shared" si="6"/>
        <v>1</v>
      </c>
      <c r="N91">
        <v>5</v>
      </c>
      <c r="O91">
        <v>2</v>
      </c>
      <c r="P91">
        <f>INDEX(Sheet2!A:A, MATCH(F91, Sheet2!B:B, 0))</f>
        <v>17</v>
      </c>
      <c r="Q91">
        <v>2</v>
      </c>
      <c r="R91">
        <f>INDEX(Sheet3!A:A, MATCH(G91, Sheet3!B:B, 0))</f>
        <v>5</v>
      </c>
      <c r="S91" s="121" t="s">
        <v>432</v>
      </c>
      <c r="T91" t="str">
        <f t="shared" si="7"/>
        <v>199208032024211019.jpg</v>
      </c>
    </row>
    <row r="92" spans="1:20" ht="15.75" x14ac:dyDescent="0.25">
      <c r="A92" s="13" t="s">
        <v>191</v>
      </c>
      <c r="B92" s="100" t="s">
        <v>410</v>
      </c>
      <c r="C92" s="12">
        <v>6</v>
      </c>
      <c r="D92" s="12">
        <v>1986</v>
      </c>
      <c r="E92" s="12" t="s">
        <v>65</v>
      </c>
      <c r="F92" s="13" t="s">
        <v>66</v>
      </c>
      <c r="G92" s="14" t="s">
        <v>20</v>
      </c>
      <c r="H92" t="str">
        <f>E92</f>
        <v>VII</v>
      </c>
      <c r="I92">
        <v>91</v>
      </c>
      <c r="J92" t="str">
        <f t="shared" si="4"/>
        <v>ERNI PAJARWATI, A.Md.</v>
      </c>
      <c r="K92" t="str">
        <f t="shared" si="5"/>
        <v>198606012024212015</v>
      </c>
      <c r="L92" t="str">
        <f t="shared" si="6"/>
        <v>2</v>
      </c>
      <c r="N92">
        <v>5</v>
      </c>
      <c r="O92">
        <v>2</v>
      </c>
      <c r="P92">
        <f>INDEX(Sheet2!A:A, MATCH(F92, Sheet2!B:B, 0))</f>
        <v>17</v>
      </c>
      <c r="Q92">
        <v>2</v>
      </c>
      <c r="R92">
        <f>INDEX(Sheet3!A:A, MATCH(G92, Sheet3!B:B, 0))</f>
        <v>5</v>
      </c>
      <c r="S92" s="121" t="s">
        <v>432</v>
      </c>
      <c r="T92" t="str">
        <f t="shared" si="7"/>
        <v>198606012024212015.jpg</v>
      </c>
    </row>
    <row r="93" spans="1:20" ht="15.75" x14ac:dyDescent="0.25">
      <c r="A93" s="19" t="s">
        <v>192</v>
      </c>
      <c r="B93" s="79">
        <v>1.9770730200812099E+17</v>
      </c>
      <c r="C93" s="6">
        <v>7</v>
      </c>
      <c r="D93" s="6">
        <v>1977</v>
      </c>
      <c r="E93" s="6" t="s">
        <v>45</v>
      </c>
      <c r="F93" s="8" t="s">
        <v>118</v>
      </c>
      <c r="G93" s="9" t="s">
        <v>3</v>
      </c>
      <c r="H93" t="str">
        <f>LEFT(E93, SEARCH(",",E93)-1)</f>
        <v>IV/a</v>
      </c>
      <c r="I93">
        <v>92</v>
      </c>
      <c r="J93" t="str">
        <f t="shared" si="4"/>
        <v>ANANG PIKUKUH PURWOKO, SE, M.M.</v>
      </c>
      <c r="K93" t="str">
        <f t="shared" si="5"/>
        <v>197707302008121000</v>
      </c>
      <c r="L93" t="str">
        <f t="shared" si="6"/>
        <v>1</v>
      </c>
      <c r="N93">
        <v>3</v>
      </c>
      <c r="O93">
        <v>1</v>
      </c>
      <c r="P93">
        <f>INDEX(Sheet2!A:A, MATCH(F93, Sheet2!B:B, 0))</f>
        <v>30</v>
      </c>
      <c r="Q93">
        <v>2</v>
      </c>
      <c r="R93">
        <f>INDEX(Sheet3!A:A, MATCH(G93, Sheet3!B:B, 0))</f>
        <v>3</v>
      </c>
      <c r="S93" s="121" t="s">
        <v>432</v>
      </c>
      <c r="T93" t="str">
        <f t="shared" si="7"/>
        <v>197707302008121000.jpg</v>
      </c>
    </row>
    <row r="94" spans="1:20" ht="15.75" x14ac:dyDescent="0.25">
      <c r="A94" s="10" t="s">
        <v>193</v>
      </c>
      <c r="B94" s="81">
        <v>1.9760923199803101E+17</v>
      </c>
      <c r="C94" s="11">
        <v>9</v>
      </c>
      <c r="D94" s="11">
        <v>1976</v>
      </c>
      <c r="E94" s="12" t="s">
        <v>194</v>
      </c>
      <c r="F94" s="13" t="s">
        <v>118</v>
      </c>
      <c r="G94" s="14" t="s">
        <v>3</v>
      </c>
      <c r="H94" t="str">
        <f>LEFT(E94, SEARCH(",",E94)-1)</f>
        <v>IV/b</v>
      </c>
      <c r="I94">
        <v>93</v>
      </c>
      <c r="J94" t="str">
        <f t="shared" si="4"/>
        <v>DELI INDRA WAHYUDI, SH, M.M.</v>
      </c>
      <c r="K94" t="str">
        <f t="shared" si="5"/>
        <v>197609231998031000</v>
      </c>
      <c r="L94" t="str">
        <f t="shared" si="6"/>
        <v>1</v>
      </c>
      <c r="N94">
        <v>3</v>
      </c>
      <c r="O94">
        <v>1</v>
      </c>
      <c r="P94">
        <f>INDEX(Sheet2!A:A, MATCH(F94, Sheet2!B:B, 0))</f>
        <v>30</v>
      </c>
      <c r="Q94">
        <v>2</v>
      </c>
      <c r="R94">
        <f>INDEX(Sheet3!A:A, MATCH(G94, Sheet3!B:B, 0))</f>
        <v>3</v>
      </c>
      <c r="S94" s="121" t="s">
        <v>432</v>
      </c>
      <c r="T94" t="str">
        <f t="shared" si="7"/>
        <v>197609231998031000.jpg</v>
      </c>
    </row>
    <row r="95" spans="1:20" ht="15.75" x14ac:dyDescent="0.25">
      <c r="A95" s="10" t="s">
        <v>195</v>
      </c>
      <c r="B95" s="93">
        <v>1.9841229201012198E+17</v>
      </c>
      <c r="C95" s="12">
        <v>12</v>
      </c>
      <c r="D95" s="12">
        <v>1984</v>
      </c>
      <c r="E95" s="12" t="s">
        <v>196</v>
      </c>
      <c r="F95" s="13" t="s">
        <v>118</v>
      </c>
      <c r="G95" s="14" t="s">
        <v>3</v>
      </c>
      <c r="H95" t="str">
        <f>LEFT(E95, SEARCH(",",E95)-1)</f>
        <v>IV/a</v>
      </c>
      <c r="I95">
        <v>94</v>
      </c>
      <c r="J95" t="str">
        <f t="shared" si="4"/>
        <v>DEWI FAUZIYATI, S.Psi, M.A.</v>
      </c>
      <c r="K95" t="str">
        <f t="shared" si="5"/>
        <v>198412292010122000</v>
      </c>
      <c r="L95" t="str">
        <f t="shared" si="6"/>
        <v>2</v>
      </c>
      <c r="N95">
        <v>3</v>
      </c>
      <c r="O95">
        <v>1</v>
      </c>
      <c r="P95">
        <f>INDEX(Sheet2!A:A, MATCH(F95, Sheet2!B:B, 0))</f>
        <v>30</v>
      </c>
      <c r="Q95">
        <v>2</v>
      </c>
      <c r="R95">
        <f>INDEX(Sheet3!A:A, MATCH(G95, Sheet3!B:B, 0))</f>
        <v>3</v>
      </c>
      <c r="S95" s="121" t="s">
        <v>432</v>
      </c>
      <c r="T95" t="str">
        <f t="shared" si="7"/>
        <v>198412292010122000.jpg</v>
      </c>
    </row>
    <row r="96" spans="1:20" ht="15.75" x14ac:dyDescent="0.25">
      <c r="A96" s="10" t="s">
        <v>197</v>
      </c>
      <c r="B96" s="93">
        <v>1.9851225201402099E+17</v>
      </c>
      <c r="C96" s="12">
        <v>12</v>
      </c>
      <c r="D96" s="12">
        <v>1985</v>
      </c>
      <c r="E96" s="12" t="s">
        <v>198</v>
      </c>
      <c r="F96" s="13" t="s">
        <v>118</v>
      </c>
      <c r="G96" s="14" t="s">
        <v>13</v>
      </c>
      <c r="H96" t="str">
        <f>E96</f>
        <v>IV/a</v>
      </c>
      <c r="I96">
        <v>95</v>
      </c>
      <c r="J96" t="str">
        <f t="shared" si="4"/>
        <v>ADI WIBOWO, SH</v>
      </c>
      <c r="K96" t="str">
        <f t="shared" si="5"/>
        <v>198512252014021000</v>
      </c>
      <c r="L96" t="str">
        <f t="shared" si="6"/>
        <v>1</v>
      </c>
      <c r="N96">
        <v>3</v>
      </c>
      <c r="O96">
        <v>1</v>
      </c>
      <c r="P96">
        <f>INDEX(Sheet2!A:A, MATCH(F96, Sheet2!B:B, 0))</f>
        <v>30</v>
      </c>
      <c r="Q96">
        <v>2</v>
      </c>
      <c r="R96">
        <f>INDEX(Sheet3!A:A, MATCH(G96, Sheet3!B:B, 0))</f>
        <v>4</v>
      </c>
      <c r="S96" s="121" t="s">
        <v>432</v>
      </c>
      <c r="T96" t="str">
        <f t="shared" si="7"/>
        <v>198512252014021000.jpg</v>
      </c>
    </row>
    <row r="97" spans="1:20" ht="15.75" x14ac:dyDescent="0.25">
      <c r="A97" s="10" t="s">
        <v>199</v>
      </c>
      <c r="B97" s="93">
        <v>1.9870812201402202E+17</v>
      </c>
      <c r="C97" s="12">
        <v>8</v>
      </c>
      <c r="D97" s="12">
        <v>1987</v>
      </c>
      <c r="E97" s="12" t="s">
        <v>15</v>
      </c>
      <c r="F97" s="13" t="s">
        <v>23</v>
      </c>
      <c r="G97" s="14" t="s">
        <v>3</v>
      </c>
      <c r="H97" t="str">
        <f>LEFT(E97, SEARCH(",",E97)-1)</f>
        <v>III/d</v>
      </c>
      <c r="I97">
        <v>96</v>
      </c>
      <c r="J97" t="str">
        <f t="shared" si="4"/>
        <v>RANI ADHITA NANDURI SIREGAR, SH, MIR., MIL.</v>
      </c>
      <c r="K97" t="str">
        <f t="shared" si="5"/>
        <v>198708122014022000</v>
      </c>
      <c r="L97" t="str">
        <f t="shared" si="6"/>
        <v>2</v>
      </c>
      <c r="N97">
        <v>3</v>
      </c>
      <c r="O97">
        <v>1</v>
      </c>
      <c r="P97">
        <f>INDEX(Sheet2!A:A, MATCH(F97, Sheet2!B:B, 0))</f>
        <v>7</v>
      </c>
      <c r="Q97">
        <v>2</v>
      </c>
      <c r="R97">
        <f>INDEX(Sheet3!A:A, MATCH(G97, Sheet3!B:B, 0))</f>
        <v>3</v>
      </c>
      <c r="S97" s="121" t="s">
        <v>432</v>
      </c>
      <c r="T97" t="str">
        <f t="shared" si="7"/>
        <v>198708122014022000.jpg</v>
      </c>
    </row>
    <row r="98" spans="1:20" ht="15.75" x14ac:dyDescent="0.25">
      <c r="A98" s="10" t="s">
        <v>200</v>
      </c>
      <c r="B98" s="93">
        <v>1.99603212022032E+17</v>
      </c>
      <c r="C98" s="12">
        <v>3</v>
      </c>
      <c r="D98" s="12">
        <v>1996</v>
      </c>
      <c r="E98" s="12" t="s">
        <v>29</v>
      </c>
      <c r="F98" s="13" t="s">
        <v>12</v>
      </c>
      <c r="G98" s="14" t="s">
        <v>13</v>
      </c>
      <c r="H98" t="str">
        <f>LEFT(E98, SEARCH(",",E98)-1)</f>
        <v>III/b</v>
      </c>
      <c r="I98">
        <v>97</v>
      </c>
      <c r="J98" t="str">
        <f t="shared" si="4"/>
        <v>NELLY ELIANINGTYAS, S.M.</v>
      </c>
      <c r="K98" t="str">
        <f t="shared" si="5"/>
        <v>199603212022032000</v>
      </c>
      <c r="L98" t="str">
        <f t="shared" si="6"/>
        <v>2</v>
      </c>
      <c r="N98">
        <v>3</v>
      </c>
      <c r="O98">
        <v>1</v>
      </c>
      <c r="P98">
        <f>INDEX(Sheet2!A:A, MATCH(F98, Sheet2!B:B, 0))</f>
        <v>4</v>
      </c>
      <c r="Q98">
        <v>2</v>
      </c>
      <c r="R98">
        <f>INDEX(Sheet3!A:A, MATCH(G98, Sheet3!B:B, 0))</f>
        <v>4</v>
      </c>
      <c r="S98" s="121" t="s">
        <v>432</v>
      </c>
      <c r="T98" t="str">
        <f t="shared" si="7"/>
        <v>199603212022032000.jpg</v>
      </c>
    </row>
    <row r="99" spans="1:20" ht="15.75" x14ac:dyDescent="0.25">
      <c r="A99" s="40" t="s">
        <v>201</v>
      </c>
      <c r="B99" s="102">
        <v>1.99809012022032E+17</v>
      </c>
      <c r="C99" s="39">
        <v>9</v>
      </c>
      <c r="D99" s="39">
        <v>1998</v>
      </c>
      <c r="E99" s="12" t="s">
        <v>29</v>
      </c>
      <c r="F99" s="13" t="s">
        <v>12</v>
      </c>
      <c r="G99" s="41" t="s">
        <v>13</v>
      </c>
      <c r="H99" t="str">
        <f>LEFT(E99, SEARCH(",",E99)-1)</f>
        <v>III/b</v>
      </c>
      <c r="I99">
        <v>98</v>
      </c>
      <c r="J99" t="str">
        <f t="shared" si="4"/>
        <v>SEPSA KUSUMAWARDANI, S.M.</v>
      </c>
      <c r="K99" t="str">
        <f t="shared" si="5"/>
        <v>199809012022032000</v>
      </c>
      <c r="L99" t="str">
        <f t="shared" si="6"/>
        <v>2</v>
      </c>
      <c r="N99">
        <v>3</v>
      </c>
      <c r="O99">
        <v>1</v>
      </c>
      <c r="P99">
        <f>INDEX(Sheet2!A:A, MATCH(F99, Sheet2!B:B, 0))</f>
        <v>4</v>
      </c>
      <c r="Q99">
        <v>2</v>
      </c>
      <c r="R99">
        <f>INDEX(Sheet3!A:A, MATCH(G99, Sheet3!B:B, 0))</f>
        <v>4</v>
      </c>
      <c r="S99" s="121" t="s">
        <v>432</v>
      </c>
      <c r="T99" t="str">
        <f t="shared" si="7"/>
        <v>199809012022032000.jpg</v>
      </c>
    </row>
    <row r="100" spans="1:20" ht="15.75" x14ac:dyDescent="0.25">
      <c r="A100" s="54" t="s">
        <v>202</v>
      </c>
      <c r="B100" s="103" t="s">
        <v>381</v>
      </c>
      <c r="C100" s="55">
        <v>4</v>
      </c>
      <c r="D100" s="55">
        <v>1993</v>
      </c>
      <c r="E100" s="55" t="s">
        <v>203</v>
      </c>
      <c r="F100" s="56" t="s">
        <v>204</v>
      </c>
      <c r="G100" s="57" t="s">
        <v>13</v>
      </c>
      <c r="H100" t="str">
        <f>LEFT(E100, SEARCH(",",E100)-1)</f>
        <v>III/b</v>
      </c>
      <c r="I100">
        <v>99</v>
      </c>
      <c r="J100" t="str">
        <f t="shared" si="4"/>
        <v>ETSA JUWITA SARI, SH</v>
      </c>
      <c r="K100" t="str">
        <f t="shared" si="5"/>
        <v>199304232018012003</v>
      </c>
      <c r="L100" t="str">
        <f t="shared" si="6"/>
        <v>2</v>
      </c>
      <c r="N100">
        <v>3</v>
      </c>
      <c r="O100">
        <v>1</v>
      </c>
      <c r="P100">
        <f>INDEX(Sheet2!A:A, MATCH(F100, Sheet2!B:B, 0))</f>
        <v>37</v>
      </c>
      <c r="Q100">
        <v>2</v>
      </c>
      <c r="R100">
        <f>INDEX(Sheet3!A:A, MATCH(G100, Sheet3!B:B, 0))</f>
        <v>4</v>
      </c>
      <c r="S100" s="121" t="s">
        <v>432</v>
      </c>
      <c r="T100" t="str">
        <f t="shared" si="7"/>
        <v>199304232018012003.jpg</v>
      </c>
    </row>
    <row r="101" spans="1:20" ht="15.75" x14ac:dyDescent="0.25">
      <c r="A101" s="40" t="s">
        <v>205</v>
      </c>
      <c r="B101" s="104">
        <v>1.9941202201902099E+17</v>
      </c>
      <c r="C101" s="39">
        <v>12</v>
      </c>
      <c r="D101" s="39">
        <v>1994</v>
      </c>
      <c r="E101" s="39" t="s">
        <v>74</v>
      </c>
      <c r="F101" s="40" t="s">
        <v>12</v>
      </c>
      <c r="G101" s="41" t="s">
        <v>13</v>
      </c>
      <c r="H101" t="str">
        <f>LEFT(E101, SEARCH(",",E101)-1)</f>
        <v>III/b</v>
      </c>
      <c r="I101">
        <v>100</v>
      </c>
      <c r="J101" t="str">
        <f t="shared" si="4"/>
        <v>ADITYA PRAMUDITO, S.Psi</v>
      </c>
      <c r="K101" t="str">
        <f t="shared" si="5"/>
        <v>199412022019021000</v>
      </c>
      <c r="L101" t="str">
        <f t="shared" si="6"/>
        <v>1</v>
      </c>
      <c r="N101">
        <v>3</v>
      </c>
      <c r="O101">
        <v>1</v>
      </c>
      <c r="P101">
        <f>INDEX(Sheet2!A:A, MATCH(F101, Sheet2!B:B, 0))</f>
        <v>4</v>
      </c>
      <c r="Q101">
        <v>2</v>
      </c>
      <c r="R101">
        <f>INDEX(Sheet3!A:A, MATCH(G101, Sheet3!B:B, 0))</f>
        <v>4</v>
      </c>
      <c r="S101" s="121" t="s">
        <v>432</v>
      </c>
      <c r="T101" t="str">
        <f t="shared" si="7"/>
        <v>199412022019021000.jpg</v>
      </c>
    </row>
    <row r="102" spans="1:20" ht="15.75" x14ac:dyDescent="0.25">
      <c r="A102" s="34" t="s">
        <v>206</v>
      </c>
      <c r="B102" s="94" t="s">
        <v>382</v>
      </c>
      <c r="C102" s="35">
        <v>6</v>
      </c>
      <c r="D102" s="35">
        <v>1998</v>
      </c>
      <c r="E102" s="35" t="s">
        <v>91</v>
      </c>
      <c r="F102" s="36" t="s">
        <v>207</v>
      </c>
      <c r="G102" s="37" t="s">
        <v>13</v>
      </c>
      <c r="H102" t="str">
        <f>E102</f>
        <v>III/a</v>
      </c>
      <c r="I102">
        <v>101</v>
      </c>
      <c r="J102" t="str">
        <f t="shared" si="4"/>
        <v>MUHAMMAD ADDRES AKMALUDDIN, S.H.</v>
      </c>
      <c r="K102" t="str">
        <f t="shared" si="5"/>
        <v>199806222025061001</v>
      </c>
      <c r="L102" t="str">
        <f t="shared" si="6"/>
        <v>1</v>
      </c>
      <c r="N102">
        <v>3</v>
      </c>
      <c r="O102">
        <v>1</v>
      </c>
      <c r="P102">
        <f>INDEX(Sheet2!A:A, MATCH(F102, Sheet2!B:B, 0))</f>
        <v>38</v>
      </c>
      <c r="Q102">
        <v>2</v>
      </c>
      <c r="R102">
        <f>INDEX(Sheet3!A:A, MATCH(G102, Sheet3!B:B, 0))</f>
        <v>4</v>
      </c>
      <c r="S102" s="121" t="s">
        <v>432</v>
      </c>
      <c r="T102" t="str">
        <f t="shared" si="7"/>
        <v>199806222025061001.jpg</v>
      </c>
    </row>
    <row r="103" spans="1:20" ht="15.75" x14ac:dyDescent="0.25">
      <c r="A103" s="34" t="s">
        <v>208</v>
      </c>
      <c r="B103" s="94" t="s">
        <v>383</v>
      </c>
      <c r="C103" s="35">
        <v>7</v>
      </c>
      <c r="D103" s="35">
        <v>1986</v>
      </c>
      <c r="E103" s="35" t="s">
        <v>91</v>
      </c>
      <c r="F103" s="34" t="s">
        <v>12</v>
      </c>
      <c r="G103" s="37" t="s">
        <v>13</v>
      </c>
      <c r="H103" t="str">
        <f>E103</f>
        <v>III/a</v>
      </c>
      <c r="I103">
        <v>102</v>
      </c>
      <c r="J103" t="str">
        <f t="shared" si="4"/>
        <v>ARIF RAHMAD YULIA MUSTAFA, S.A.P.</v>
      </c>
      <c r="K103" t="str">
        <f t="shared" si="5"/>
        <v>198607062014021001</v>
      </c>
      <c r="L103" t="str">
        <f t="shared" si="6"/>
        <v>1</v>
      </c>
      <c r="N103">
        <v>3</v>
      </c>
      <c r="O103">
        <v>1</v>
      </c>
      <c r="P103">
        <f>INDEX(Sheet2!A:A, MATCH(F103, Sheet2!B:B, 0))</f>
        <v>4</v>
      </c>
      <c r="Q103">
        <v>2</v>
      </c>
      <c r="R103">
        <f>INDEX(Sheet3!A:A, MATCH(G103, Sheet3!B:B, 0))</f>
        <v>4</v>
      </c>
      <c r="S103" s="121" t="s">
        <v>432</v>
      </c>
      <c r="T103" t="str">
        <f t="shared" si="7"/>
        <v>198607062014021001.jpg</v>
      </c>
    </row>
    <row r="104" spans="1:20" ht="15.75" x14ac:dyDescent="0.25">
      <c r="A104" s="13" t="s">
        <v>209</v>
      </c>
      <c r="B104" s="81">
        <v>1.97806182008012E+17</v>
      </c>
      <c r="C104" s="11">
        <v>6</v>
      </c>
      <c r="D104" s="11">
        <v>1978</v>
      </c>
      <c r="E104" s="12" t="s">
        <v>173</v>
      </c>
      <c r="F104" s="58" t="s">
        <v>210</v>
      </c>
      <c r="G104" s="14" t="s">
        <v>13</v>
      </c>
      <c r="H104" t="str">
        <f>LEFT(E104, SEARCH(",",E104)-1)</f>
        <v>III/d</v>
      </c>
      <c r="I104">
        <v>103</v>
      </c>
      <c r="J104" t="str">
        <f t="shared" si="4"/>
        <v xml:space="preserve">TIN YUNIATI, S.Psi </v>
      </c>
      <c r="K104" t="str">
        <f t="shared" si="5"/>
        <v>197806182008012000</v>
      </c>
      <c r="L104" t="str">
        <f t="shared" si="6"/>
        <v>2</v>
      </c>
      <c r="N104">
        <v>3</v>
      </c>
      <c r="O104">
        <v>1</v>
      </c>
      <c r="P104">
        <f>INDEX(Sheet2!A:A, MATCH(F104, Sheet2!B:B, 0))</f>
        <v>39</v>
      </c>
      <c r="Q104">
        <v>2</v>
      </c>
      <c r="R104">
        <f>INDEX(Sheet3!A:A, MATCH(G104, Sheet3!B:B, 0))</f>
        <v>4</v>
      </c>
      <c r="S104" s="121" t="s">
        <v>432</v>
      </c>
      <c r="T104" t="str">
        <f t="shared" si="7"/>
        <v>197806182008012000.jpg</v>
      </c>
    </row>
    <row r="105" spans="1:20" ht="15.75" x14ac:dyDescent="0.25">
      <c r="A105" s="10" t="s">
        <v>211</v>
      </c>
      <c r="B105" s="81">
        <v>1.97406101998032E+17</v>
      </c>
      <c r="C105" s="11">
        <v>6</v>
      </c>
      <c r="D105" s="11">
        <v>1974</v>
      </c>
      <c r="E105" s="12" t="s">
        <v>212</v>
      </c>
      <c r="F105" s="58" t="s">
        <v>210</v>
      </c>
      <c r="G105" s="14" t="s">
        <v>13</v>
      </c>
      <c r="H105" t="str">
        <f>LEFT(E105, SEARCH(",",E105)-1)</f>
        <v>III/d</v>
      </c>
      <c r="I105">
        <v>104</v>
      </c>
      <c r="J105" t="str">
        <f t="shared" si="4"/>
        <v>YUSSI HENDRAYANTI, S.SOS</v>
      </c>
      <c r="K105" t="str">
        <f t="shared" si="5"/>
        <v>197406101998032000</v>
      </c>
      <c r="L105" t="str">
        <f t="shared" si="6"/>
        <v>2</v>
      </c>
      <c r="N105">
        <v>3</v>
      </c>
      <c r="O105">
        <v>1</v>
      </c>
      <c r="P105">
        <f>INDEX(Sheet2!A:A, MATCH(F105, Sheet2!B:B, 0))</f>
        <v>39</v>
      </c>
      <c r="Q105">
        <v>2</v>
      </c>
      <c r="R105">
        <f>INDEX(Sheet3!A:A, MATCH(G105, Sheet3!B:B, 0))</f>
        <v>4</v>
      </c>
      <c r="S105" s="121" t="s">
        <v>432</v>
      </c>
      <c r="T105" t="str">
        <f t="shared" si="7"/>
        <v>197406101998032000.jpg</v>
      </c>
    </row>
    <row r="106" spans="1:20" ht="15.75" x14ac:dyDescent="0.25">
      <c r="A106" s="34" t="s">
        <v>213</v>
      </c>
      <c r="B106" s="105">
        <v>1.99212112015032E+17</v>
      </c>
      <c r="C106" s="35">
        <v>12</v>
      </c>
      <c r="D106" s="35">
        <v>1992</v>
      </c>
      <c r="E106" s="35" t="s">
        <v>214</v>
      </c>
      <c r="F106" s="58" t="s">
        <v>210</v>
      </c>
      <c r="G106" s="37" t="s">
        <v>13</v>
      </c>
      <c r="H106" t="str">
        <f>LEFT(E106, SEARCH(",",E106)-1)</f>
        <v>III/c</v>
      </c>
      <c r="I106">
        <v>105</v>
      </c>
      <c r="J106" t="str">
        <f t="shared" si="4"/>
        <v>AYA SALIKHA SUBAGYO, S.Psi</v>
      </c>
      <c r="K106" t="str">
        <f t="shared" si="5"/>
        <v>199212112015032000</v>
      </c>
      <c r="L106" t="str">
        <f t="shared" si="6"/>
        <v>2</v>
      </c>
      <c r="N106">
        <v>3</v>
      </c>
      <c r="O106">
        <v>1</v>
      </c>
      <c r="P106">
        <f>INDEX(Sheet2!A:A, MATCH(F106, Sheet2!B:B, 0))</f>
        <v>39</v>
      </c>
      <c r="Q106">
        <v>2</v>
      </c>
      <c r="R106">
        <f>INDEX(Sheet3!A:A, MATCH(G106, Sheet3!B:B, 0))</f>
        <v>4</v>
      </c>
      <c r="S106" s="121" t="s">
        <v>432</v>
      </c>
      <c r="T106" t="str">
        <f t="shared" si="7"/>
        <v>199212112015032000.jpg</v>
      </c>
    </row>
    <row r="107" spans="1:20" ht="15.75" x14ac:dyDescent="0.25">
      <c r="A107" s="13" t="s">
        <v>215</v>
      </c>
      <c r="B107" s="85" t="s">
        <v>384</v>
      </c>
      <c r="C107" s="12">
        <v>7</v>
      </c>
      <c r="D107" s="12">
        <v>1985</v>
      </c>
      <c r="E107" s="12" t="s">
        <v>216</v>
      </c>
      <c r="F107" s="58" t="s">
        <v>210</v>
      </c>
      <c r="G107" s="14" t="s">
        <v>13</v>
      </c>
      <c r="H107" t="str">
        <f>E107</f>
        <v>III/c</v>
      </c>
      <c r="I107">
        <v>106</v>
      </c>
      <c r="J107" t="str">
        <f t="shared" si="4"/>
        <v>GILANG ARTHYO LUMAKSONO, S.Psi</v>
      </c>
      <c r="K107" t="str">
        <f t="shared" si="5"/>
        <v>198507052015031001</v>
      </c>
      <c r="L107" t="str">
        <f t="shared" si="6"/>
        <v>1</v>
      </c>
      <c r="N107">
        <v>3</v>
      </c>
      <c r="O107">
        <v>1</v>
      </c>
      <c r="P107">
        <f>INDEX(Sheet2!A:A, MATCH(F107, Sheet2!B:B, 0))</f>
        <v>39</v>
      </c>
      <c r="Q107">
        <v>2</v>
      </c>
      <c r="R107">
        <f>INDEX(Sheet3!A:A, MATCH(G107, Sheet3!B:B, 0))</f>
        <v>4</v>
      </c>
      <c r="S107" s="121" t="s">
        <v>432</v>
      </c>
      <c r="T107" t="str">
        <f t="shared" si="7"/>
        <v>198507052015031001.jpg</v>
      </c>
    </row>
    <row r="108" spans="1:20" ht="15.75" x14ac:dyDescent="0.25">
      <c r="A108" s="60" t="s">
        <v>217</v>
      </c>
      <c r="B108" s="106">
        <v>1.98201282015032E+17</v>
      </c>
      <c r="C108" s="61">
        <v>1</v>
      </c>
      <c r="D108" s="61">
        <v>1982</v>
      </c>
      <c r="E108" s="39" t="s">
        <v>218</v>
      </c>
      <c r="F108" s="58" t="s">
        <v>210</v>
      </c>
      <c r="G108" s="41" t="s">
        <v>13</v>
      </c>
      <c r="H108" t="str">
        <f>LEFT(E108, SEARCH(",",E108)-1)</f>
        <v>III/b</v>
      </c>
      <c r="I108">
        <v>107</v>
      </c>
      <c r="J108" t="str">
        <f t="shared" si="4"/>
        <v>AULIA ROKHMAH, SE</v>
      </c>
      <c r="K108" t="str">
        <f t="shared" si="5"/>
        <v>198201282015032000</v>
      </c>
      <c r="L108" t="str">
        <f t="shared" si="6"/>
        <v>2</v>
      </c>
      <c r="N108">
        <v>3</v>
      </c>
      <c r="O108">
        <v>1</v>
      </c>
      <c r="P108">
        <f>INDEX(Sheet2!A:A, MATCH(F108, Sheet2!B:B, 0))</f>
        <v>39</v>
      </c>
      <c r="Q108">
        <v>2</v>
      </c>
      <c r="R108">
        <f>INDEX(Sheet3!A:A, MATCH(G108, Sheet3!B:B, 0))</f>
        <v>4</v>
      </c>
      <c r="S108" s="121" t="s">
        <v>432</v>
      </c>
      <c r="T108" t="str">
        <f t="shared" si="7"/>
        <v>198201282015032000.jpg</v>
      </c>
    </row>
    <row r="109" spans="1:20" ht="15.75" x14ac:dyDescent="0.25">
      <c r="A109" s="62" t="s">
        <v>219</v>
      </c>
      <c r="B109" s="82" t="s">
        <v>385</v>
      </c>
      <c r="C109" s="11">
        <v>4</v>
      </c>
      <c r="D109" s="11">
        <v>1988</v>
      </c>
      <c r="E109" s="12" t="s">
        <v>220</v>
      </c>
      <c r="F109" s="58" t="s">
        <v>221</v>
      </c>
      <c r="G109" s="14" t="s">
        <v>3</v>
      </c>
      <c r="H109" t="str">
        <f>LEFT(E109, SEARCH(",",E109)-1)</f>
        <v>III/b</v>
      </c>
      <c r="I109">
        <v>108</v>
      </c>
      <c r="J109" t="str">
        <f t="shared" si="4"/>
        <v>ANDHANI HARISHA CHABIB, S.Psi, M.Psi, Psikolog</v>
      </c>
      <c r="K109" t="str">
        <f t="shared" si="5"/>
        <v>198804212019021001</v>
      </c>
      <c r="L109" t="str">
        <f t="shared" si="6"/>
        <v>1</v>
      </c>
      <c r="N109">
        <v>3</v>
      </c>
      <c r="O109">
        <v>1</v>
      </c>
      <c r="P109">
        <f>INDEX(Sheet2!A:A, MATCH(F109, Sheet2!B:B, 0))</f>
        <v>40</v>
      </c>
      <c r="Q109">
        <v>2</v>
      </c>
      <c r="R109">
        <f>INDEX(Sheet3!A:A, MATCH(G109, Sheet3!B:B, 0))</f>
        <v>3</v>
      </c>
      <c r="S109" s="121" t="s">
        <v>432</v>
      </c>
      <c r="T109" t="str">
        <f t="shared" si="7"/>
        <v>198804212019021001.jpg</v>
      </c>
    </row>
    <row r="110" spans="1:20" ht="15.75" x14ac:dyDescent="0.25">
      <c r="A110" s="10" t="s">
        <v>222</v>
      </c>
      <c r="B110" s="95" t="s">
        <v>411</v>
      </c>
      <c r="C110" s="12">
        <v>7</v>
      </c>
      <c r="D110" s="12">
        <v>1995</v>
      </c>
      <c r="E110" s="12" t="s">
        <v>65</v>
      </c>
      <c r="F110" s="13" t="s">
        <v>66</v>
      </c>
      <c r="G110" s="14" t="s">
        <v>20</v>
      </c>
      <c r="H110" t="str">
        <f>E110</f>
        <v>VII</v>
      </c>
      <c r="I110">
        <v>109</v>
      </c>
      <c r="J110" t="str">
        <f t="shared" si="4"/>
        <v>MAHDA DALUAS WIDAYANI, A.Md.</v>
      </c>
      <c r="K110" t="str">
        <f t="shared" si="5"/>
        <v>199507152024212029</v>
      </c>
      <c r="L110" t="str">
        <f t="shared" si="6"/>
        <v>2</v>
      </c>
      <c r="N110">
        <v>3</v>
      </c>
      <c r="O110">
        <v>2</v>
      </c>
      <c r="P110">
        <f>INDEX(Sheet2!A:A, MATCH(F110, Sheet2!B:B, 0))</f>
        <v>17</v>
      </c>
      <c r="Q110">
        <v>2</v>
      </c>
      <c r="R110">
        <f>INDEX(Sheet3!A:A, MATCH(G110, Sheet3!B:B, 0))</f>
        <v>5</v>
      </c>
      <c r="S110" s="121" t="s">
        <v>432</v>
      </c>
      <c r="T110" t="str">
        <f t="shared" si="7"/>
        <v>199507152024212029.jpg</v>
      </c>
    </row>
    <row r="111" spans="1:20" ht="15.75" x14ac:dyDescent="0.25">
      <c r="A111" s="8" t="s">
        <v>223</v>
      </c>
      <c r="B111" s="79">
        <v>1.9850806200812198E+17</v>
      </c>
      <c r="C111" s="6">
        <v>8</v>
      </c>
      <c r="D111" s="6">
        <v>1985</v>
      </c>
      <c r="E111" s="6" t="s">
        <v>224</v>
      </c>
      <c r="F111" s="8" t="s">
        <v>225</v>
      </c>
      <c r="G111" s="9" t="s">
        <v>3</v>
      </c>
      <c r="H111" t="str">
        <f>LEFT(E111, SEARCH(",",E111)-1)</f>
        <v>IV/a</v>
      </c>
      <c r="I111">
        <v>110</v>
      </c>
      <c r="J111" t="str">
        <f t="shared" si="4"/>
        <v>CICIH LASMIYATI, S.Sos. M.Si.</v>
      </c>
      <c r="K111" t="str">
        <f t="shared" si="5"/>
        <v>198508062008122000</v>
      </c>
      <c r="L111" t="str">
        <f t="shared" si="6"/>
        <v>2</v>
      </c>
      <c r="N111">
        <v>2</v>
      </c>
      <c r="O111">
        <v>1</v>
      </c>
      <c r="P111">
        <f>INDEX(Sheet2!A:A, MATCH(F111, Sheet2!B:B, 0))</f>
        <v>41</v>
      </c>
      <c r="Q111">
        <v>2</v>
      </c>
      <c r="R111">
        <f>INDEX(Sheet3!A:A, MATCH(G111, Sheet3!B:B, 0))</f>
        <v>3</v>
      </c>
      <c r="S111" s="121" t="s">
        <v>432</v>
      </c>
      <c r="T111" t="str">
        <f t="shared" si="7"/>
        <v>198508062008122000.jpg</v>
      </c>
    </row>
    <row r="112" spans="1:20" ht="15.75" x14ac:dyDescent="0.25">
      <c r="A112" s="10" t="s">
        <v>226</v>
      </c>
      <c r="B112" s="93">
        <v>1.96705281987112E+17</v>
      </c>
      <c r="C112" s="12">
        <v>5</v>
      </c>
      <c r="D112" s="12">
        <v>1967</v>
      </c>
      <c r="E112" s="12" t="s">
        <v>123</v>
      </c>
      <c r="F112" s="13" t="s">
        <v>225</v>
      </c>
      <c r="G112" s="14" t="s">
        <v>3</v>
      </c>
      <c r="H112" t="str">
        <f>LEFT(E112, SEARCH(",",E112)-1)</f>
        <v>IV/a</v>
      </c>
      <c r="I112">
        <v>111</v>
      </c>
      <c r="J112" t="str">
        <f t="shared" si="4"/>
        <v>TUTIK WINARTI, S.IP.  M.Si.</v>
      </c>
      <c r="K112" t="str">
        <f t="shared" si="5"/>
        <v>196705281987112000</v>
      </c>
      <c r="L112" t="str">
        <f t="shared" si="6"/>
        <v>2</v>
      </c>
      <c r="N112">
        <v>2</v>
      </c>
      <c r="O112">
        <v>1</v>
      </c>
      <c r="P112">
        <f>INDEX(Sheet2!A:A, MATCH(F112, Sheet2!B:B, 0))</f>
        <v>41</v>
      </c>
      <c r="Q112">
        <v>2</v>
      </c>
      <c r="R112">
        <f>INDEX(Sheet3!A:A, MATCH(G112, Sheet3!B:B, 0))</f>
        <v>3</v>
      </c>
      <c r="S112" s="121" t="s">
        <v>432</v>
      </c>
      <c r="T112" t="str">
        <f t="shared" si="7"/>
        <v>196705281987112000.jpg</v>
      </c>
    </row>
    <row r="113" spans="1:20" ht="15.75" x14ac:dyDescent="0.25">
      <c r="A113" s="10" t="s">
        <v>227</v>
      </c>
      <c r="B113" s="81">
        <v>1.96612101987112E+17</v>
      </c>
      <c r="C113" s="22">
        <v>12</v>
      </c>
      <c r="D113" s="22">
        <v>1966</v>
      </c>
      <c r="E113" s="12" t="s">
        <v>45</v>
      </c>
      <c r="F113" s="13" t="s">
        <v>225</v>
      </c>
      <c r="G113" s="14" t="s">
        <v>13</v>
      </c>
      <c r="H113" t="str">
        <f>LEFT(E113, SEARCH(",",E113)-1)</f>
        <v>IV/a</v>
      </c>
      <c r="I113">
        <v>112</v>
      </c>
      <c r="J113" t="str">
        <f t="shared" si="4"/>
        <v>BS.SURYANINGSIH HANDAYANI, S.Sos</v>
      </c>
      <c r="K113" t="str">
        <f t="shared" si="5"/>
        <v>196612101987112000</v>
      </c>
      <c r="L113" t="str">
        <f t="shared" si="6"/>
        <v>2</v>
      </c>
      <c r="N113">
        <v>2</v>
      </c>
      <c r="O113">
        <v>1</v>
      </c>
      <c r="P113">
        <f>INDEX(Sheet2!A:A, MATCH(F113, Sheet2!B:B, 0))</f>
        <v>41</v>
      </c>
      <c r="Q113">
        <v>2</v>
      </c>
      <c r="R113">
        <f>INDEX(Sheet3!A:A, MATCH(G113, Sheet3!B:B, 0))</f>
        <v>4</v>
      </c>
      <c r="S113" s="121" t="s">
        <v>432</v>
      </c>
      <c r="T113" t="str">
        <f t="shared" si="7"/>
        <v>196612101987112000.jpg</v>
      </c>
    </row>
    <row r="114" spans="1:20" ht="15.75" x14ac:dyDescent="0.25">
      <c r="A114" s="4" t="s">
        <v>228</v>
      </c>
      <c r="B114" s="107" t="s">
        <v>386</v>
      </c>
      <c r="C114" s="1">
        <v>9</v>
      </c>
      <c r="D114" s="1">
        <v>1986</v>
      </c>
      <c r="E114" s="1" t="s">
        <v>45</v>
      </c>
      <c r="F114" s="4" t="s">
        <v>229</v>
      </c>
      <c r="G114" s="5" t="s">
        <v>3</v>
      </c>
      <c r="H114" t="str">
        <f>LEFT(E114, SEARCH(",",E114)-1)</f>
        <v>IV/a</v>
      </c>
      <c r="I114">
        <v>113</v>
      </c>
      <c r="J114" t="str">
        <f t="shared" si="4"/>
        <v>EKA PANGESTUTI, S.IP, M.P.A</v>
      </c>
      <c r="K114" t="str">
        <f t="shared" si="5"/>
        <v>198609032009122001</v>
      </c>
      <c r="L114" t="str">
        <f t="shared" si="6"/>
        <v>2</v>
      </c>
      <c r="N114">
        <v>2</v>
      </c>
      <c r="O114">
        <v>1</v>
      </c>
      <c r="P114">
        <f>INDEX(Sheet2!A:A, MATCH(F114, Sheet2!B:B, 0))</f>
        <v>42</v>
      </c>
      <c r="Q114">
        <v>2</v>
      </c>
      <c r="R114">
        <f>INDEX(Sheet3!A:A, MATCH(G114, Sheet3!B:B, 0))</f>
        <v>3</v>
      </c>
      <c r="S114" s="121" t="s">
        <v>432</v>
      </c>
      <c r="T114" t="str">
        <f t="shared" si="7"/>
        <v>198609032009122001.jpg</v>
      </c>
    </row>
    <row r="115" spans="1:20" ht="15.75" x14ac:dyDescent="0.25">
      <c r="A115" s="10" t="s">
        <v>230</v>
      </c>
      <c r="B115" s="93">
        <v>1.9820405200912099E+17</v>
      </c>
      <c r="C115" s="12">
        <v>4</v>
      </c>
      <c r="D115" s="12">
        <v>1982</v>
      </c>
      <c r="E115" s="12" t="s">
        <v>231</v>
      </c>
      <c r="F115" s="13" t="s">
        <v>229</v>
      </c>
      <c r="G115" s="14" t="s">
        <v>3</v>
      </c>
      <c r="H115" t="str">
        <f>LEFT(E115, SEARCH(",",E115)-1)</f>
        <v>III/d</v>
      </c>
      <c r="I115">
        <v>114</v>
      </c>
      <c r="J115" t="str">
        <f t="shared" si="4"/>
        <v>RIDLOWI, S.Sos. MA.</v>
      </c>
      <c r="K115" t="str">
        <f t="shared" si="5"/>
        <v>198204052009121000</v>
      </c>
      <c r="L115" t="str">
        <f t="shared" si="6"/>
        <v>1</v>
      </c>
      <c r="N115">
        <v>2</v>
      </c>
      <c r="O115">
        <v>1</v>
      </c>
      <c r="P115">
        <f>INDEX(Sheet2!A:A, MATCH(F115, Sheet2!B:B, 0))</f>
        <v>42</v>
      </c>
      <c r="Q115">
        <v>2</v>
      </c>
      <c r="R115">
        <f>INDEX(Sheet3!A:A, MATCH(G115, Sheet3!B:B, 0))</f>
        <v>3</v>
      </c>
      <c r="S115" s="121" t="s">
        <v>432</v>
      </c>
      <c r="T115" t="str">
        <f t="shared" si="7"/>
        <v>198204052009121000.jpg</v>
      </c>
    </row>
    <row r="116" spans="1:20" ht="15.75" x14ac:dyDescent="0.25">
      <c r="A116" s="10" t="s">
        <v>232</v>
      </c>
      <c r="B116" s="81">
        <v>1.96906111997032E+17</v>
      </c>
      <c r="C116" s="11">
        <v>6</v>
      </c>
      <c r="D116" s="11">
        <v>1969</v>
      </c>
      <c r="E116" s="12" t="s">
        <v>125</v>
      </c>
      <c r="F116" s="13" t="s">
        <v>225</v>
      </c>
      <c r="G116" s="14" t="s">
        <v>3</v>
      </c>
      <c r="H116" t="str">
        <f>LEFT(E116, SEARCH(",",E116)-1)</f>
        <v>IV/a</v>
      </c>
      <c r="I116">
        <v>115</v>
      </c>
      <c r="J116" t="str">
        <f t="shared" si="4"/>
        <v>ENI ISNIWATI, S.IP.,  M.M.</v>
      </c>
      <c r="K116" t="str">
        <f t="shared" si="5"/>
        <v>196906111997032000</v>
      </c>
      <c r="L116" t="str">
        <f t="shared" si="6"/>
        <v>2</v>
      </c>
      <c r="N116">
        <v>2</v>
      </c>
      <c r="O116">
        <v>1</v>
      </c>
      <c r="P116">
        <f>INDEX(Sheet2!A:A, MATCH(F116, Sheet2!B:B, 0))</f>
        <v>41</v>
      </c>
      <c r="Q116">
        <v>2</v>
      </c>
      <c r="R116">
        <f>INDEX(Sheet3!A:A, MATCH(G116, Sheet3!B:B, 0))</f>
        <v>3</v>
      </c>
      <c r="S116" s="121" t="s">
        <v>432</v>
      </c>
      <c r="T116" t="str">
        <f t="shared" si="7"/>
        <v>196906111997032000.jpg</v>
      </c>
    </row>
    <row r="117" spans="1:20" ht="15.75" x14ac:dyDescent="0.25">
      <c r="A117" s="10" t="s">
        <v>233</v>
      </c>
      <c r="B117" s="81">
        <v>1.9681215198711101E+17</v>
      </c>
      <c r="C117" s="11">
        <v>12</v>
      </c>
      <c r="D117" s="11">
        <v>1968</v>
      </c>
      <c r="E117" s="12" t="s">
        <v>127</v>
      </c>
      <c r="F117" s="13" t="s">
        <v>229</v>
      </c>
      <c r="G117" s="14" t="s">
        <v>13</v>
      </c>
      <c r="H117" t="str">
        <f>LEFT(E117, SEARCH(",",E117)-1)</f>
        <v>III/d</v>
      </c>
      <c r="I117">
        <v>116</v>
      </c>
      <c r="J117" t="str">
        <f t="shared" si="4"/>
        <v>ALBERTUS TRIKUMORO, S.H.</v>
      </c>
      <c r="K117" t="str">
        <f t="shared" si="5"/>
        <v>196812151987111000</v>
      </c>
      <c r="L117" t="str">
        <f t="shared" si="6"/>
        <v>1</v>
      </c>
      <c r="N117">
        <v>2</v>
      </c>
      <c r="O117">
        <v>1</v>
      </c>
      <c r="P117">
        <f>INDEX(Sheet2!A:A, MATCH(F117, Sheet2!B:B, 0))</f>
        <v>42</v>
      </c>
      <c r="Q117">
        <v>2</v>
      </c>
      <c r="R117">
        <f>INDEX(Sheet3!A:A, MATCH(G117, Sheet3!B:B, 0))</f>
        <v>4</v>
      </c>
      <c r="S117" s="121" t="s">
        <v>432</v>
      </c>
      <c r="T117" t="str">
        <f t="shared" si="7"/>
        <v>196812151987111000.jpg</v>
      </c>
    </row>
    <row r="118" spans="1:20" ht="15.75" x14ac:dyDescent="0.25">
      <c r="A118" s="13" t="s">
        <v>234</v>
      </c>
      <c r="B118" s="93">
        <v>1.9721201199303101E+17</v>
      </c>
      <c r="C118" s="12">
        <v>12</v>
      </c>
      <c r="D118" s="12">
        <v>1972</v>
      </c>
      <c r="E118" s="12" t="s">
        <v>235</v>
      </c>
      <c r="F118" s="13" t="s">
        <v>229</v>
      </c>
      <c r="G118" s="14" t="s">
        <v>13</v>
      </c>
      <c r="H118" t="str">
        <f>LEFT(E118, SEARCH(",",E118)-1)</f>
        <v>III/d</v>
      </c>
      <c r="I118">
        <v>117</v>
      </c>
      <c r="J118" t="str">
        <f t="shared" si="4"/>
        <v>RUSMIN NURYADIN, SE</v>
      </c>
      <c r="K118" t="str">
        <f t="shared" si="5"/>
        <v>197212011993031000</v>
      </c>
      <c r="L118" t="str">
        <f t="shared" si="6"/>
        <v>1</v>
      </c>
      <c r="N118">
        <v>2</v>
      </c>
      <c r="O118">
        <v>1</v>
      </c>
      <c r="P118">
        <f>INDEX(Sheet2!A:A, MATCH(F118, Sheet2!B:B, 0))</f>
        <v>42</v>
      </c>
      <c r="Q118">
        <v>2</v>
      </c>
      <c r="R118">
        <f>INDEX(Sheet3!A:A, MATCH(G118, Sheet3!B:B, 0))</f>
        <v>4</v>
      </c>
      <c r="S118" s="121" t="s">
        <v>432</v>
      </c>
      <c r="T118" t="str">
        <f t="shared" si="7"/>
        <v>197212011993031000.jpg</v>
      </c>
    </row>
    <row r="119" spans="1:20" ht="15.75" x14ac:dyDescent="0.25">
      <c r="A119" s="10" t="s">
        <v>236</v>
      </c>
      <c r="B119" s="93">
        <v>1.9720312199303101E+17</v>
      </c>
      <c r="C119" s="12">
        <v>3</v>
      </c>
      <c r="D119" s="12">
        <v>1972</v>
      </c>
      <c r="E119" s="12" t="s">
        <v>189</v>
      </c>
      <c r="F119" s="13" t="s">
        <v>229</v>
      </c>
      <c r="G119" s="14" t="s">
        <v>13</v>
      </c>
      <c r="H119" t="str">
        <f>LEFT(E119, SEARCH(",",E119)-1)</f>
        <v>III/c</v>
      </c>
      <c r="I119">
        <v>118</v>
      </c>
      <c r="J119" t="str">
        <f t="shared" si="4"/>
        <v>IBNU SUTRIYANTO, S.IP</v>
      </c>
      <c r="K119" t="str">
        <f t="shared" si="5"/>
        <v>197203121993031000</v>
      </c>
      <c r="L119" t="str">
        <f t="shared" si="6"/>
        <v>1</v>
      </c>
      <c r="N119">
        <v>2</v>
      </c>
      <c r="O119">
        <v>1</v>
      </c>
      <c r="P119">
        <f>INDEX(Sheet2!A:A, MATCH(F119, Sheet2!B:B, 0))</f>
        <v>42</v>
      </c>
      <c r="Q119">
        <v>2</v>
      </c>
      <c r="R119">
        <f>INDEX(Sheet3!A:A, MATCH(G119, Sheet3!B:B, 0))</f>
        <v>4</v>
      </c>
      <c r="S119" s="121" t="s">
        <v>432</v>
      </c>
      <c r="T119" t="str">
        <f t="shared" si="7"/>
        <v>197203121993031000.jpg</v>
      </c>
    </row>
    <row r="120" spans="1:20" ht="15.75" x14ac:dyDescent="0.25">
      <c r="A120" s="59" t="s">
        <v>237</v>
      </c>
      <c r="B120" s="96">
        <v>1.97901222000032E+17</v>
      </c>
      <c r="C120" s="35">
        <v>1</v>
      </c>
      <c r="D120" s="35">
        <v>1979</v>
      </c>
      <c r="E120" s="35" t="s">
        <v>176</v>
      </c>
      <c r="F120" s="34" t="s">
        <v>238</v>
      </c>
      <c r="G120" s="37" t="s">
        <v>13</v>
      </c>
      <c r="H120" t="str">
        <f>LEFT(E120, SEARCH(",",E120)-1)</f>
        <v>III/c</v>
      </c>
      <c r="I120">
        <v>119</v>
      </c>
      <c r="J120" t="str">
        <f t="shared" si="4"/>
        <v>BINTARI RURANTI WISARINI, S.A.P</v>
      </c>
      <c r="K120" t="str">
        <f t="shared" si="5"/>
        <v>197901222000032000</v>
      </c>
      <c r="L120" t="str">
        <f t="shared" si="6"/>
        <v>2</v>
      </c>
      <c r="N120">
        <v>2</v>
      </c>
      <c r="O120">
        <v>1</v>
      </c>
      <c r="P120">
        <f>INDEX(Sheet2!A:A, MATCH(F120, Sheet2!B:B, 0))</f>
        <v>43</v>
      </c>
      <c r="Q120">
        <v>2</v>
      </c>
      <c r="R120">
        <f>INDEX(Sheet3!A:A, MATCH(G120, Sheet3!B:B, 0))</f>
        <v>4</v>
      </c>
      <c r="S120" s="121" t="s">
        <v>432</v>
      </c>
      <c r="T120" t="str">
        <f t="shared" si="7"/>
        <v>197901222000032000.jpg</v>
      </c>
    </row>
    <row r="121" spans="1:20" ht="15.75" x14ac:dyDescent="0.25">
      <c r="A121" s="10" t="s">
        <v>239</v>
      </c>
      <c r="B121" s="81">
        <v>1.97610082008012E+17</v>
      </c>
      <c r="C121" s="11">
        <v>10</v>
      </c>
      <c r="D121" s="11">
        <v>1976</v>
      </c>
      <c r="E121" s="12" t="s">
        <v>240</v>
      </c>
      <c r="F121" s="13" t="s">
        <v>238</v>
      </c>
      <c r="G121" s="14" t="s">
        <v>13</v>
      </c>
      <c r="H121" t="str">
        <f>LEFT(E121, SEARCH(",",E121)-1)</f>
        <v>III/c</v>
      </c>
      <c r="I121">
        <v>120</v>
      </c>
      <c r="J121" t="str">
        <f t="shared" si="4"/>
        <v>LATIFAH, SE</v>
      </c>
      <c r="K121" t="str">
        <f t="shared" si="5"/>
        <v>197610082008012000</v>
      </c>
      <c r="L121" t="str">
        <f t="shared" si="6"/>
        <v>2</v>
      </c>
      <c r="N121">
        <v>2</v>
      </c>
      <c r="O121">
        <v>1</v>
      </c>
      <c r="P121">
        <f>INDEX(Sheet2!A:A, MATCH(F121, Sheet2!B:B, 0))</f>
        <v>43</v>
      </c>
      <c r="Q121">
        <v>2</v>
      </c>
      <c r="R121">
        <f>INDEX(Sheet3!A:A, MATCH(G121, Sheet3!B:B, 0))</f>
        <v>4</v>
      </c>
      <c r="S121" s="121" t="s">
        <v>432</v>
      </c>
      <c r="T121" t="str">
        <f t="shared" si="7"/>
        <v>197610082008012000.jpg</v>
      </c>
    </row>
    <row r="122" spans="1:20" ht="15.75" x14ac:dyDescent="0.25">
      <c r="A122" s="15" t="s">
        <v>241</v>
      </c>
      <c r="B122" s="84" t="s">
        <v>387</v>
      </c>
      <c r="C122" s="16">
        <v>4</v>
      </c>
      <c r="D122" s="16">
        <v>1993</v>
      </c>
      <c r="E122" s="12" t="s">
        <v>54</v>
      </c>
      <c r="F122" s="13" t="s">
        <v>238</v>
      </c>
      <c r="G122" s="14" t="s">
        <v>242</v>
      </c>
      <c r="H122" t="str">
        <f>LEFT(E122, SEARCH(",",E122)-1)</f>
        <v>III/b</v>
      </c>
      <c r="I122">
        <v>121</v>
      </c>
      <c r="J122" t="str">
        <f t="shared" si="4"/>
        <v>TRIA MERINA CAHYADEWI, M. Acc.</v>
      </c>
      <c r="K122" t="str">
        <f t="shared" si="5"/>
        <v>199304082020122010</v>
      </c>
      <c r="L122" t="str">
        <f t="shared" si="6"/>
        <v>2</v>
      </c>
      <c r="N122">
        <v>2</v>
      </c>
      <c r="O122">
        <v>1</v>
      </c>
      <c r="P122">
        <f>INDEX(Sheet2!A:A, MATCH(F122, Sheet2!B:B, 0))</f>
        <v>43</v>
      </c>
      <c r="Q122">
        <v>2</v>
      </c>
      <c r="R122">
        <f>INDEX(Sheet3!A:A, MATCH(G122, Sheet3!B:B, 0))</f>
        <v>3</v>
      </c>
      <c r="S122" s="121" t="s">
        <v>432</v>
      </c>
      <c r="T122" t="str">
        <f t="shared" si="7"/>
        <v>199304082020122010.jpg</v>
      </c>
    </row>
    <row r="123" spans="1:20" ht="15.75" x14ac:dyDescent="0.25">
      <c r="A123" s="13" t="s">
        <v>243</v>
      </c>
      <c r="B123" s="85" t="s">
        <v>388</v>
      </c>
      <c r="C123" s="12">
        <v>7</v>
      </c>
      <c r="D123" s="12">
        <v>1994</v>
      </c>
      <c r="E123" s="12" t="s">
        <v>40</v>
      </c>
      <c r="F123" s="13" t="s">
        <v>238</v>
      </c>
      <c r="G123" s="14" t="s">
        <v>13</v>
      </c>
      <c r="H123" t="str">
        <f>LEFT(E123, SEARCH(",",E123)-1)</f>
        <v>III/b</v>
      </c>
      <c r="I123">
        <v>122</v>
      </c>
      <c r="J123" t="str">
        <f t="shared" si="4"/>
        <v>NUR ICHSANUDIN, S.I.P</v>
      </c>
      <c r="K123" t="str">
        <f t="shared" si="5"/>
        <v>199407282022031003</v>
      </c>
      <c r="L123" t="str">
        <f t="shared" si="6"/>
        <v>1</v>
      </c>
      <c r="N123">
        <v>2</v>
      </c>
      <c r="O123">
        <v>1</v>
      </c>
      <c r="P123">
        <f>INDEX(Sheet2!A:A, MATCH(F123, Sheet2!B:B, 0))</f>
        <v>43</v>
      </c>
      <c r="Q123">
        <v>2</v>
      </c>
      <c r="R123">
        <f>INDEX(Sheet3!A:A, MATCH(G123, Sheet3!B:B, 0))</f>
        <v>4</v>
      </c>
      <c r="S123" s="121" t="s">
        <v>432</v>
      </c>
      <c r="T123" t="str">
        <f t="shared" si="7"/>
        <v>199407282022031003.jpg</v>
      </c>
    </row>
    <row r="124" spans="1:20" ht="15.75" x14ac:dyDescent="0.25">
      <c r="A124" s="10" t="s">
        <v>244</v>
      </c>
      <c r="B124" s="93">
        <v>1.9910814202203101E+17</v>
      </c>
      <c r="C124" s="12">
        <v>8</v>
      </c>
      <c r="D124" s="12">
        <v>1991</v>
      </c>
      <c r="E124" s="12" t="s">
        <v>182</v>
      </c>
      <c r="F124" s="13" t="s">
        <v>238</v>
      </c>
      <c r="G124" s="14" t="s">
        <v>13</v>
      </c>
      <c r="H124" t="str">
        <f>LEFT(E124, SEARCH(",",E124)-1)</f>
        <v>III/b</v>
      </c>
      <c r="I124">
        <v>123</v>
      </c>
      <c r="J124" t="str">
        <f t="shared" si="4"/>
        <v>RIDWAN KUSUMA MAWARDANI, S.H.</v>
      </c>
      <c r="K124" t="str">
        <f t="shared" si="5"/>
        <v>199108142022031000</v>
      </c>
      <c r="L124" t="str">
        <f t="shared" si="6"/>
        <v>1</v>
      </c>
      <c r="N124">
        <v>2</v>
      </c>
      <c r="O124">
        <v>1</v>
      </c>
      <c r="P124">
        <f>INDEX(Sheet2!A:A, MATCH(F124, Sheet2!B:B, 0))</f>
        <v>43</v>
      </c>
      <c r="Q124">
        <v>2</v>
      </c>
      <c r="R124">
        <f>INDEX(Sheet3!A:A, MATCH(G124, Sheet3!B:B, 0))</f>
        <v>4</v>
      </c>
      <c r="S124" s="121" t="s">
        <v>432</v>
      </c>
      <c r="T124" t="str">
        <f t="shared" si="7"/>
        <v>199108142022031000.jpg</v>
      </c>
    </row>
    <row r="125" spans="1:20" ht="15.75" x14ac:dyDescent="0.25">
      <c r="A125" s="34" t="s">
        <v>245</v>
      </c>
      <c r="B125" s="108" t="s">
        <v>389</v>
      </c>
      <c r="C125" s="35">
        <v>1</v>
      </c>
      <c r="D125" s="35">
        <v>1996</v>
      </c>
      <c r="E125" s="35" t="s">
        <v>91</v>
      </c>
      <c r="F125" s="63" t="s">
        <v>246</v>
      </c>
      <c r="G125" s="37" t="s">
        <v>13</v>
      </c>
      <c r="H125" t="str">
        <f>E125</f>
        <v>III/a</v>
      </c>
      <c r="I125">
        <v>124</v>
      </c>
      <c r="J125" t="str">
        <f t="shared" si="4"/>
        <v>REZA INDRIANTO, S.Sos.</v>
      </c>
      <c r="K125" t="str">
        <f t="shared" si="5"/>
        <v>199601182025061001</v>
      </c>
      <c r="L125" t="str">
        <f t="shared" si="6"/>
        <v>1</v>
      </c>
      <c r="N125">
        <v>2</v>
      </c>
      <c r="O125">
        <v>1</v>
      </c>
      <c r="P125">
        <f>INDEX(Sheet2!A:A, MATCH(F125, Sheet2!B:B, 0))</f>
        <v>44</v>
      </c>
      <c r="Q125">
        <v>2</v>
      </c>
      <c r="R125">
        <f>INDEX(Sheet3!A:A, MATCH(G125, Sheet3!B:B, 0))</f>
        <v>4</v>
      </c>
      <c r="S125" s="121" t="s">
        <v>432</v>
      </c>
      <c r="T125" t="str">
        <f t="shared" si="7"/>
        <v>199601182025061001.jpg</v>
      </c>
    </row>
    <row r="126" spans="1:20" ht="15.75" x14ac:dyDescent="0.25">
      <c r="A126" s="19" t="s">
        <v>247</v>
      </c>
      <c r="B126" s="101">
        <v>1.9680417199403101E+17</v>
      </c>
      <c r="C126" s="53">
        <v>4</v>
      </c>
      <c r="D126" s="6">
        <v>1968</v>
      </c>
      <c r="E126" s="6" t="s">
        <v>248</v>
      </c>
      <c r="F126" s="8" t="s">
        <v>249</v>
      </c>
      <c r="G126" s="9" t="s">
        <v>13</v>
      </c>
      <c r="H126" t="str">
        <f>LEFT(E126, SEARCH(",",E126)-1)</f>
        <v xml:space="preserve"> IV/a</v>
      </c>
      <c r="I126">
        <v>125</v>
      </c>
      <c r="J126" t="str">
        <f t="shared" si="4"/>
        <v>STEPHANUS FIRMANTO T, S.Kom</v>
      </c>
      <c r="K126" t="str">
        <f t="shared" si="5"/>
        <v>196804171994031000</v>
      </c>
      <c r="L126" t="str">
        <f t="shared" si="6"/>
        <v>1</v>
      </c>
      <c r="N126">
        <v>1</v>
      </c>
      <c r="O126">
        <v>1</v>
      </c>
      <c r="P126">
        <f>INDEX(Sheet2!A:A, MATCH(F126, Sheet2!B:B, 0))</f>
        <v>45</v>
      </c>
      <c r="Q126">
        <v>2</v>
      </c>
      <c r="R126">
        <f>INDEX(Sheet3!A:A, MATCH(G126, Sheet3!B:B, 0))</f>
        <v>4</v>
      </c>
      <c r="S126" s="121" t="s">
        <v>432</v>
      </c>
      <c r="T126" t="str">
        <f t="shared" si="7"/>
        <v>196804171994031000.jpg</v>
      </c>
    </row>
    <row r="127" spans="1:20" ht="15.75" x14ac:dyDescent="0.25">
      <c r="A127" s="10" t="s">
        <v>250</v>
      </c>
      <c r="B127" s="93">
        <v>1.96807311987112E+17</v>
      </c>
      <c r="C127" s="12">
        <v>7</v>
      </c>
      <c r="D127" s="12">
        <v>1968</v>
      </c>
      <c r="E127" s="12" t="s">
        <v>251</v>
      </c>
      <c r="F127" s="15" t="s">
        <v>252</v>
      </c>
      <c r="G127" s="48" t="s">
        <v>3</v>
      </c>
      <c r="H127" t="str">
        <f>LEFT(E127, SEARCH(",",E127)-1)</f>
        <v xml:space="preserve"> IV/a</v>
      </c>
      <c r="I127">
        <v>126</v>
      </c>
      <c r="J127" t="str">
        <f t="shared" si="4"/>
        <v>KASTIYAH YOHANA, S.H, M.M.</v>
      </c>
      <c r="K127" t="str">
        <f t="shared" si="5"/>
        <v>196807311987112000</v>
      </c>
      <c r="L127" t="str">
        <f t="shared" si="6"/>
        <v>2</v>
      </c>
      <c r="N127">
        <v>1</v>
      </c>
      <c r="O127">
        <v>1</v>
      </c>
      <c r="P127">
        <f>INDEX(Sheet2!A:A, MATCH(F127, Sheet2!B:B, 0))</f>
        <v>46</v>
      </c>
      <c r="Q127">
        <v>2</v>
      </c>
      <c r="R127">
        <f>INDEX(Sheet3!A:A, MATCH(G127, Sheet3!B:B, 0))</f>
        <v>3</v>
      </c>
      <c r="S127" s="121" t="s">
        <v>432</v>
      </c>
      <c r="T127" t="str">
        <f t="shared" si="7"/>
        <v>196807311987112000.jpg</v>
      </c>
    </row>
    <row r="128" spans="1:20" ht="15.75" x14ac:dyDescent="0.25">
      <c r="A128" s="23" t="s">
        <v>253</v>
      </c>
      <c r="B128" s="85" t="s">
        <v>390</v>
      </c>
      <c r="C128" s="12">
        <v>2</v>
      </c>
      <c r="D128" s="12">
        <v>1973</v>
      </c>
      <c r="E128" s="12" t="s">
        <v>254</v>
      </c>
      <c r="F128" s="13" t="s">
        <v>23</v>
      </c>
      <c r="G128" s="14" t="s">
        <v>13</v>
      </c>
      <c r="H128" t="str">
        <f>LEFT(E128, SEARCH(",",E128)-1)</f>
        <v>III/d</v>
      </c>
      <c r="I128">
        <v>127</v>
      </c>
      <c r="J128" t="str">
        <f t="shared" si="4"/>
        <v>BAYU WIDYO HASTORO, S.Sos</v>
      </c>
      <c r="K128" t="str">
        <f t="shared" si="5"/>
        <v>197302252001121001</v>
      </c>
      <c r="L128" t="str">
        <f t="shared" si="6"/>
        <v>1</v>
      </c>
      <c r="N128">
        <v>1</v>
      </c>
      <c r="O128">
        <v>1</v>
      </c>
      <c r="P128">
        <f>INDEX(Sheet2!A:A, MATCH(F128, Sheet2!B:B, 0))</f>
        <v>7</v>
      </c>
      <c r="Q128">
        <v>2</v>
      </c>
      <c r="R128">
        <f>INDEX(Sheet3!A:A, MATCH(G128, Sheet3!B:B, 0))</f>
        <v>4</v>
      </c>
      <c r="S128" s="121" t="s">
        <v>432</v>
      </c>
      <c r="T128" t="str">
        <f t="shared" si="7"/>
        <v>197302252001121001.jpg</v>
      </c>
    </row>
    <row r="129" spans="1:20" ht="15.75" x14ac:dyDescent="0.25">
      <c r="A129" s="10" t="s">
        <v>255</v>
      </c>
      <c r="B129" s="81">
        <v>1.9680810199303101E+17</v>
      </c>
      <c r="C129" s="11">
        <v>8</v>
      </c>
      <c r="D129" s="11">
        <v>1968</v>
      </c>
      <c r="E129" s="12" t="s">
        <v>256</v>
      </c>
      <c r="F129" s="13" t="s">
        <v>23</v>
      </c>
      <c r="G129" s="14" t="s">
        <v>13</v>
      </c>
      <c r="H129" t="str">
        <f>LEFT(E129, SEARCH(",",E129)-1)</f>
        <v>III/d</v>
      </c>
      <c r="I129">
        <v>128</v>
      </c>
      <c r="J129" t="str">
        <f t="shared" si="4"/>
        <v>Y. SOETONO, S.Sos</v>
      </c>
      <c r="K129" t="str">
        <f t="shared" si="5"/>
        <v>196808101993031000</v>
      </c>
      <c r="L129" t="str">
        <f t="shared" si="6"/>
        <v>1</v>
      </c>
      <c r="N129">
        <v>1</v>
      </c>
      <c r="O129">
        <v>1</v>
      </c>
      <c r="P129">
        <f>INDEX(Sheet2!A:A, MATCH(F129, Sheet2!B:B, 0))</f>
        <v>7</v>
      </c>
      <c r="Q129">
        <v>2</v>
      </c>
      <c r="R129">
        <f>INDEX(Sheet3!A:A, MATCH(G129, Sheet3!B:B, 0))</f>
        <v>4</v>
      </c>
      <c r="S129" s="121" t="s">
        <v>432</v>
      </c>
      <c r="T129" t="str">
        <f t="shared" si="7"/>
        <v>196808101993031000.jpg</v>
      </c>
    </row>
    <row r="130" spans="1:20" ht="15.75" x14ac:dyDescent="0.25">
      <c r="A130" s="13" t="s">
        <v>257</v>
      </c>
      <c r="B130" s="82" t="s">
        <v>391</v>
      </c>
      <c r="C130" s="11">
        <v>6</v>
      </c>
      <c r="D130" s="64" t="s">
        <v>258</v>
      </c>
      <c r="E130" s="12" t="s">
        <v>259</v>
      </c>
      <c r="F130" s="13" t="s">
        <v>23</v>
      </c>
      <c r="G130" s="14" t="s">
        <v>13</v>
      </c>
      <c r="H130" t="str">
        <f>LEFT(E130, SEARCH(",",E130)-1)</f>
        <v>III/d</v>
      </c>
      <c r="I130">
        <v>129</v>
      </c>
      <c r="J130" t="str">
        <f t="shared" si="4"/>
        <v>TRIAS PURNOMO, S.Kom.</v>
      </c>
      <c r="K130" t="str">
        <f t="shared" si="5"/>
        <v>198106152006041005</v>
      </c>
      <c r="L130" t="str">
        <f t="shared" si="6"/>
        <v>1</v>
      </c>
      <c r="N130">
        <v>1</v>
      </c>
      <c r="O130">
        <v>1</v>
      </c>
      <c r="P130">
        <f>INDEX(Sheet2!A:A, MATCH(F130, Sheet2!B:B, 0))</f>
        <v>7</v>
      </c>
      <c r="Q130">
        <v>2</v>
      </c>
      <c r="R130">
        <f>INDEX(Sheet3!A:A, MATCH(G130, Sheet3!B:B, 0))</f>
        <v>4</v>
      </c>
      <c r="S130" s="121" t="s">
        <v>432</v>
      </c>
      <c r="T130" t="str">
        <f t="shared" si="7"/>
        <v>198106152006041005.jpg</v>
      </c>
    </row>
    <row r="131" spans="1:20" ht="15.75" x14ac:dyDescent="0.25">
      <c r="A131" s="8" t="s">
        <v>260</v>
      </c>
      <c r="B131" s="81">
        <v>1.9730811200003101E+17</v>
      </c>
      <c r="C131" s="11">
        <v>8</v>
      </c>
      <c r="D131" s="11">
        <v>1973</v>
      </c>
      <c r="E131" s="12" t="s">
        <v>173</v>
      </c>
      <c r="F131" s="13" t="s">
        <v>23</v>
      </c>
      <c r="G131" s="14" t="s">
        <v>13</v>
      </c>
      <c r="H131" t="str">
        <f>LEFT(E131, SEARCH(",",E131)-1)</f>
        <v>III/d</v>
      </c>
      <c r="I131">
        <v>130</v>
      </c>
      <c r="J131" t="str">
        <f t="shared" ref="J131:J180" si="8">A131</f>
        <v>AGUS SALIM, S.IP</v>
      </c>
      <c r="K131" t="str">
        <f t="shared" ref="K131:K180" si="9">""&amp;B131</f>
        <v>197308112000031000</v>
      </c>
      <c r="L131" t="str">
        <f t="shared" ref="L131:L180" si="10">LEFT(RIGHT(K131, 4), 1)</f>
        <v>1</v>
      </c>
      <c r="N131">
        <v>1</v>
      </c>
      <c r="O131">
        <v>1</v>
      </c>
      <c r="P131">
        <f>INDEX(Sheet2!A:A, MATCH(F131, Sheet2!B:B, 0))</f>
        <v>7</v>
      </c>
      <c r="Q131">
        <v>2</v>
      </c>
      <c r="R131">
        <f>INDEX(Sheet3!A:A, MATCH(G131, Sheet3!B:B, 0))</f>
        <v>4</v>
      </c>
      <c r="S131" s="121" t="s">
        <v>432</v>
      </c>
      <c r="T131" t="str">
        <f t="shared" ref="T131:T180" si="11">CONCATENATE(K131, ".jpg")</f>
        <v>197308112000031000.jpg</v>
      </c>
    </row>
    <row r="132" spans="1:20" ht="15.75" x14ac:dyDescent="0.25">
      <c r="A132" s="8" t="s">
        <v>261</v>
      </c>
      <c r="B132" s="81">
        <v>1.9860627200812099E+17</v>
      </c>
      <c r="C132" s="11">
        <v>6</v>
      </c>
      <c r="D132" s="11">
        <v>1986</v>
      </c>
      <c r="E132" s="12" t="s">
        <v>148</v>
      </c>
      <c r="F132" s="13" t="s">
        <v>23</v>
      </c>
      <c r="G132" s="14" t="s">
        <v>3</v>
      </c>
      <c r="H132" t="str">
        <f>LEFT(E132, SEARCH(",",E132)-1)</f>
        <v>III/d</v>
      </c>
      <c r="I132">
        <v>131</v>
      </c>
      <c r="J132" t="str">
        <f t="shared" si="8"/>
        <v>ADI CHANDRA NEGARA, S.Sos, MM</v>
      </c>
      <c r="K132" t="str">
        <f t="shared" si="9"/>
        <v>198606272008121000</v>
      </c>
      <c r="L132" t="str">
        <f t="shared" si="10"/>
        <v>1</v>
      </c>
      <c r="N132">
        <v>1</v>
      </c>
      <c r="O132">
        <v>1</v>
      </c>
      <c r="P132">
        <f>INDEX(Sheet2!A:A, MATCH(F132, Sheet2!B:B, 0))</f>
        <v>7</v>
      </c>
      <c r="Q132">
        <v>2</v>
      </c>
      <c r="R132">
        <f>INDEX(Sheet3!A:A, MATCH(G132, Sheet3!B:B, 0))</f>
        <v>3</v>
      </c>
      <c r="S132" s="121" t="s">
        <v>432</v>
      </c>
      <c r="T132" t="str">
        <f t="shared" si="11"/>
        <v>198606272008121000.jpg</v>
      </c>
    </row>
    <row r="133" spans="1:20" ht="15.75" x14ac:dyDescent="0.25">
      <c r="A133" s="13" t="s">
        <v>262</v>
      </c>
      <c r="B133" s="82" t="s">
        <v>392</v>
      </c>
      <c r="C133" s="11">
        <v>2</v>
      </c>
      <c r="D133" s="11">
        <v>1985</v>
      </c>
      <c r="E133" s="12" t="s">
        <v>148</v>
      </c>
      <c r="F133" s="13" t="s">
        <v>263</v>
      </c>
      <c r="G133" s="14" t="s">
        <v>13</v>
      </c>
      <c r="H133" t="str">
        <f>LEFT(E133, SEARCH(",",E133)-1)</f>
        <v>III/d</v>
      </c>
      <c r="I133">
        <v>132</v>
      </c>
      <c r="J133" t="str">
        <f t="shared" si="8"/>
        <v>AROHMAN SHOLEH, S.Kom.</v>
      </c>
      <c r="K133" t="str">
        <f t="shared" si="9"/>
        <v>198502192009121001</v>
      </c>
      <c r="L133" t="str">
        <f t="shared" si="10"/>
        <v>1</v>
      </c>
      <c r="N133">
        <v>1</v>
      </c>
      <c r="O133">
        <v>1</v>
      </c>
      <c r="P133">
        <f>INDEX(Sheet2!A:A, MATCH(F133, Sheet2!B:B, 0))</f>
        <v>47</v>
      </c>
      <c r="Q133">
        <v>2</v>
      </c>
      <c r="R133">
        <f>INDEX(Sheet3!A:A, MATCH(G133, Sheet3!B:B, 0))</f>
        <v>4</v>
      </c>
      <c r="S133" s="121" t="s">
        <v>432</v>
      </c>
      <c r="T133" t="str">
        <f t="shared" si="11"/>
        <v>198502192009121001.jpg</v>
      </c>
    </row>
    <row r="134" spans="1:20" ht="15.75" x14ac:dyDescent="0.25">
      <c r="A134" s="13" t="s">
        <v>264</v>
      </c>
      <c r="B134" s="81">
        <v>1.9840330200912099E+17</v>
      </c>
      <c r="C134" s="11">
        <v>3</v>
      </c>
      <c r="D134" s="11">
        <v>1984</v>
      </c>
      <c r="E134" s="12" t="s">
        <v>265</v>
      </c>
      <c r="F134" s="13" t="s">
        <v>263</v>
      </c>
      <c r="G134" s="14" t="s">
        <v>3</v>
      </c>
      <c r="H134" t="str">
        <f>LEFT(E134, SEARCH(",",E134)-1)</f>
        <v>III/d</v>
      </c>
      <c r="I134">
        <v>133</v>
      </c>
      <c r="J134" t="str">
        <f t="shared" si="8"/>
        <v>HANIF RAHMAWAN, S.Kom. M.Cs</v>
      </c>
      <c r="K134" t="str">
        <f t="shared" si="9"/>
        <v>198403302009121000</v>
      </c>
      <c r="L134" t="str">
        <f t="shared" si="10"/>
        <v>1</v>
      </c>
      <c r="N134">
        <v>1</v>
      </c>
      <c r="O134">
        <v>1</v>
      </c>
      <c r="P134">
        <f>INDEX(Sheet2!A:A, MATCH(F134, Sheet2!B:B, 0))</f>
        <v>47</v>
      </c>
      <c r="Q134">
        <v>2</v>
      </c>
      <c r="R134">
        <f>INDEX(Sheet3!A:A, MATCH(G134, Sheet3!B:B, 0))</f>
        <v>3</v>
      </c>
      <c r="S134" s="121" t="s">
        <v>432</v>
      </c>
      <c r="T134" t="str">
        <f t="shared" si="11"/>
        <v>198403302009121000.jpg</v>
      </c>
    </row>
    <row r="135" spans="1:20" ht="15.75" x14ac:dyDescent="0.25">
      <c r="A135" s="50" t="s">
        <v>266</v>
      </c>
      <c r="B135" s="109" t="s">
        <v>393</v>
      </c>
      <c r="C135" s="51">
        <v>8</v>
      </c>
      <c r="D135" s="51">
        <v>1984</v>
      </c>
      <c r="E135" s="65" t="s">
        <v>129</v>
      </c>
      <c r="F135" s="40" t="s">
        <v>263</v>
      </c>
      <c r="G135" s="41" t="s">
        <v>3</v>
      </c>
      <c r="H135" t="str">
        <f>LEFT(E135, SEARCH(",",E135)-1)</f>
        <v>III/c</v>
      </c>
      <c r="I135">
        <v>134</v>
      </c>
      <c r="J135" t="str">
        <f t="shared" si="8"/>
        <v>SA'DIYAH NOOR NOVITA  ALFISAHRIN, S.Kom, M.Kom.</v>
      </c>
      <c r="K135" t="str">
        <f t="shared" si="9"/>
        <v>198408092015032001</v>
      </c>
      <c r="L135" t="str">
        <f t="shared" si="10"/>
        <v>2</v>
      </c>
      <c r="N135">
        <v>1</v>
      </c>
      <c r="O135">
        <v>1</v>
      </c>
      <c r="P135">
        <f>INDEX(Sheet2!A:A, MATCH(F135, Sheet2!B:B, 0))</f>
        <v>47</v>
      </c>
      <c r="Q135">
        <v>2</v>
      </c>
      <c r="R135">
        <f>INDEX(Sheet3!A:A, MATCH(G135, Sheet3!B:B, 0))</f>
        <v>3</v>
      </c>
      <c r="S135" s="121" t="s">
        <v>432</v>
      </c>
      <c r="T135" t="str">
        <f t="shared" si="11"/>
        <v>198408092015032001.jpg</v>
      </c>
    </row>
    <row r="136" spans="1:20" ht="15.75" x14ac:dyDescent="0.25">
      <c r="A136" s="10" t="s">
        <v>267</v>
      </c>
      <c r="B136" s="81">
        <v>1.96807051991032E+17</v>
      </c>
      <c r="C136" s="11">
        <v>7</v>
      </c>
      <c r="D136" s="11">
        <v>1968</v>
      </c>
      <c r="E136" s="12" t="s">
        <v>259</v>
      </c>
      <c r="F136" s="13" t="s">
        <v>131</v>
      </c>
      <c r="G136" s="14" t="s">
        <v>76</v>
      </c>
      <c r="H136" t="str">
        <f>LEFT(E136, SEARCH(",",E136)-1)</f>
        <v>III/d</v>
      </c>
      <c r="I136">
        <v>135</v>
      </c>
      <c r="J136" t="str">
        <f t="shared" si="8"/>
        <v>SUYANTI</v>
      </c>
      <c r="K136" t="str">
        <f t="shared" si="9"/>
        <v>196807051991032000</v>
      </c>
      <c r="L136" t="str">
        <f t="shared" si="10"/>
        <v>2</v>
      </c>
      <c r="N136">
        <v>1</v>
      </c>
      <c r="O136">
        <v>1</v>
      </c>
      <c r="P136">
        <f>INDEX(Sheet2!A:A, MATCH(F136, Sheet2!B:B, 0))</f>
        <v>31</v>
      </c>
      <c r="Q136">
        <v>2</v>
      </c>
      <c r="R136">
        <f>INDEX(Sheet3!A:A, MATCH(G136, Sheet3!B:B, 0))</f>
        <v>6</v>
      </c>
      <c r="S136" s="121" t="s">
        <v>432</v>
      </c>
      <c r="T136" t="str">
        <f t="shared" si="11"/>
        <v>196807051991032000.jpg</v>
      </c>
    </row>
    <row r="137" spans="1:20" ht="15.75" x14ac:dyDescent="0.25">
      <c r="A137" s="10" t="s">
        <v>268</v>
      </c>
      <c r="B137" s="81">
        <v>1.97301092000032E+17</v>
      </c>
      <c r="C137" s="11">
        <v>1</v>
      </c>
      <c r="D137" s="11">
        <v>1973</v>
      </c>
      <c r="E137" s="12" t="s">
        <v>231</v>
      </c>
      <c r="F137" s="13" t="s">
        <v>19</v>
      </c>
      <c r="G137" s="14" t="s">
        <v>20</v>
      </c>
      <c r="H137" t="str">
        <f>LEFT(E137, SEARCH(",",E137)-1)</f>
        <v>III/d</v>
      </c>
      <c r="I137">
        <v>136</v>
      </c>
      <c r="J137" t="str">
        <f t="shared" si="8"/>
        <v>AAN CANDRA ROKHANI, A.Md</v>
      </c>
      <c r="K137" t="str">
        <f t="shared" si="9"/>
        <v>197301092000032000</v>
      </c>
      <c r="L137" t="str">
        <f t="shared" si="10"/>
        <v>2</v>
      </c>
      <c r="N137">
        <v>1</v>
      </c>
      <c r="O137">
        <v>1</v>
      </c>
      <c r="P137">
        <f>INDEX(Sheet2!A:A, MATCH(F137, Sheet2!B:B, 0))</f>
        <v>6</v>
      </c>
      <c r="Q137">
        <v>2</v>
      </c>
      <c r="R137">
        <f>INDEX(Sheet3!A:A, MATCH(G137, Sheet3!B:B, 0))</f>
        <v>5</v>
      </c>
      <c r="S137" s="121" t="s">
        <v>432</v>
      </c>
      <c r="T137" t="str">
        <f t="shared" si="11"/>
        <v>197301092000032000.jpg</v>
      </c>
    </row>
    <row r="138" spans="1:20" ht="15.75" x14ac:dyDescent="0.25">
      <c r="A138" s="10" t="s">
        <v>269</v>
      </c>
      <c r="B138" s="81">
        <v>1.9720608199303101E+17</v>
      </c>
      <c r="C138" s="11">
        <v>6</v>
      </c>
      <c r="D138" s="11">
        <v>1972</v>
      </c>
      <c r="E138" s="12" t="s">
        <v>32</v>
      </c>
      <c r="F138" s="13" t="s">
        <v>19</v>
      </c>
      <c r="G138" s="14" t="s">
        <v>13</v>
      </c>
      <c r="H138" t="str">
        <f>LEFT(E138, SEARCH(",",E138)-1)</f>
        <v>III/d</v>
      </c>
      <c r="I138">
        <v>137</v>
      </c>
      <c r="J138" t="str">
        <f t="shared" si="8"/>
        <v>SUMANTRI, S.IP.</v>
      </c>
      <c r="K138" t="str">
        <f t="shared" si="9"/>
        <v>197206081993031000</v>
      </c>
      <c r="L138" t="str">
        <f t="shared" si="10"/>
        <v>1</v>
      </c>
      <c r="N138">
        <v>1</v>
      </c>
      <c r="O138">
        <v>1</v>
      </c>
      <c r="P138">
        <f>INDEX(Sheet2!A:A, MATCH(F138, Sheet2!B:B, 0))</f>
        <v>6</v>
      </c>
      <c r="Q138">
        <v>2</v>
      </c>
      <c r="R138">
        <f>INDEX(Sheet3!A:A, MATCH(G138, Sheet3!B:B, 0))</f>
        <v>4</v>
      </c>
      <c r="S138" s="121" t="s">
        <v>432</v>
      </c>
      <c r="T138" t="str">
        <f t="shared" si="11"/>
        <v>197206081993031000.jpg</v>
      </c>
    </row>
    <row r="139" spans="1:20" ht="15.75" x14ac:dyDescent="0.25">
      <c r="A139" s="10" t="s">
        <v>270</v>
      </c>
      <c r="B139" s="81">
        <v>1.9790621200003101E+17</v>
      </c>
      <c r="C139" s="11">
        <v>6</v>
      </c>
      <c r="D139" s="11">
        <v>1979</v>
      </c>
      <c r="E139" s="12" t="s">
        <v>27</v>
      </c>
      <c r="F139" s="13" t="s">
        <v>271</v>
      </c>
      <c r="G139" s="14" t="s">
        <v>13</v>
      </c>
      <c r="H139" t="str">
        <f>LEFT(E139, SEARCH(",",E139)-1)</f>
        <v>III/b</v>
      </c>
      <c r="I139">
        <v>138</v>
      </c>
      <c r="J139" t="str">
        <f t="shared" si="8"/>
        <v>VIVID SUDIARTO, S.Kom</v>
      </c>
      <c r="K139" t="str">
        <f t="shared" si="9"/>
        <v>197906212000031000</v>
      </c>
      <c r="L139" t="str">
        <f t="shared" si="10"/>
        <v>1</v>
      </c>
      <c r="N139">
        <v>1</v>
      </c>
      <c r="O139">
        <v>1</v>
      </c>
      <c r="P139">
        <f>INDEX(Sheet2!A:A, MATCH(F139, Sheet2!B:B, 0))</f>
        <v>48</v>
      </c>
      <c r="Q139">
        <v>2</v>
      </c>
      <c r="R139">
        <f>INDEX(Sheet3!A:A, MATCH(G139, Sheet3!B:B, 0))</f>
        <v>4</v>
      </c>
      <c r="S139" s="121" t="s">
        <v>432</v>
      </c>
      <c r="T139" t="str">
        <f t="shared" si="11"/>
        <v>197906212000031000.jpg</v>
      </c>
    </row>
    <row r="140" spans="1:20" ht="15.75" x14ac:dyDescent="0.25">
      <c r="A140" s="10" t="s">
        <v>272</v>
      </c>
      <c r="B140" s="82" t="s">
        <v>394</v>
      </c>
      <c r="C140" s="11">
        <v>7</v>
      </c>
      <c r="D140" s="11">
        <v>1989</v>
      </c>
      <c r="E140" s="12" t="s">
        <v>25</v>
      </c>
      <c r="F140" s="13" t="s">
        <v>271</v>
      </c>
      <c r="G140" s="14" t="s">
        <v>13</v>
      </c>
      <c r="H140" t="str">
        <f>LEFT(E140, SEARCH(",",E140)-1)</f>
        <v>III/b</v>
      </c>
      <c r="I140">
        <v>139</v>
      </c>
      <c r="J140" t="str">
        <f t="shared" si="8"/>
        <v>SRI LESTARI, S.Kom</v>
      </c>
      <c r="K140" t="str">
        <f t="shared" si="9"/>
        <v>198907052019022007</v>
      </c>
      <c r="L140" t="str">
        <f t="shared" si="10"/>
        <v>2</v>
      </c>
      <c r="N140">
        <v>1</v>
      </c>
      <c r="O140">
        <v>1</v>
      </c>
      <c r="P140">
        <f>INDEX(Sheet2!A:A, MATCH(F140, Sheet2!B:B, 0))</f>
        <v>48</v>
      </c>
      <c r="Q140">
        <v>2</v>
      </c>
      <c r="R140">
        <f>INDEX(Sheet3!A:A, MATCH(G140, Sheet3!B:B, 0))</f>
        <v>4</v>
      </c>
      <c r="S140" s="121" t="s">
        <v>432</v>
      </c>
      <c r="T140" t="str">
        <f t="shared" si="11"/>
        <v>198907052019022007.jpg</v>
      </c>
    </row>
    <row r="141" spans="1:20" ht="15.75" x14ac:dyDescent="0.25">
      <c r="A141" s="10" t="s">
        <v>273</v>
      </c>
      <c r="B141" s="82" t="s">
        <v>395</v>
      </c>
      <c r="C141" s="22">
        <v>12</v>
      </c>
      <c r="D141" s="22">
        <v>1984</v>
      </c>
      <c r="E141" s="12" t="s">
        <v>40</v>
      </c>
      <c r="F141" s="13" t="s">
        <v>271</v>
      </c>
      <c r="G141" s="14" t="s">
        <v>13</v>
      </c>
      <c r="H141" t="str">
        <f>LEFT(E141, SEARCH(",",E141)-1)</f>
        <v>III/b</v>
      </c>
      <c r="I141">
        <v>140</v>
      </c>
      <c r="J141" t="str">
        <f t="shared" si="8"/>
        <v>INDRI RISANTI TAUFIQ, ST</v>
      </c>
      <c r="K141" t="str">
        <f t="shared" si="9"/>
        <v>198412082019022002</v>
      </c>
      <c r="L141" t="str">
        <f t="shared" si="10"/>
        <v>2</v>
      </c>
      <c r="N141">
        <v>1</v>
      </c>
      <c r="O141">
        <v>1</v>
      </c>
      <c r="P141">
        <f>INDEX(Sheet2!A:A, MATCH(F141, Sheet2!B:B, 0))</f>
        <v>48</v>
      </c>
      <c r="Q141">
        <v>2</v>
      </c>
      <c r="R141">
        <f>INDEX(Sheet3!A:A, MATCH(G141, Sheet3!B:B, 0))</f>
        <v>4</v>
      </c>
      <c r="S141" s="121" t="s">
        <v>432</v>
      </c>
      <c r="T141" t="str">
        <f t="shared" si="11"/>
        <v>198412082019022002.jpg</v>
      </c>
    </row>
    <row r="142" spans="1:20" ht="15.75" x14ac:dyDescent="0.25">
      <c r="A142" s="10" t="s">
        <v>274</v>
      </c>
      <c r="B142" s="82" t="s">
        <v>396</v>
      </c>
      <c r="C142" s="11">
        <v>4</v>
      </c>
      <c r="D142" s="11">
        <v>1992</v>
      </c>
      <c r="E142" s="12" t="s">
        <v>40</v>
      </c>
      <c r="F142" s="13" t="s">
        <v>271</v>
      </c>
      <c r="G142" s="48" t="s">
        <v>13</v>
      </c>
      <c r="H142" t="str">
        <f>LEFT(E142, SEARCH(",",E142)-1)</f>
        <v>III/b</v>
      </c>
      <c r="I142">
        <v>141</v>
      </c>
      <c r="J142" t="str">
        <f t="shared" si="8"/>
        <v>MUHAMAD IMAM SETYAWAN, S.Kom</v>
      </c>
      <c r="K142" t="str">
        <f t="shared" si="9"/>
        <v>199204042019021004</v>
      </c>
      <c r="L142" t="str">
        <f t="shared" si="10"/>
        <v>1</v>
      </c>
      <c r="N142">
        <v>1</v>
      </c>
      <c r="O142">
        <v>1</v>
      </c>
      <c r="P142">
        <f>INDEX(Sheet2!A:A, MATCH(F142, Sheet2!B:B, 0))</f>
        <v>48</v>
      </c>
      <c r="Q142">
        <v>2</v>
      </c>
      <c r="R142">
        <f>INDEX(Sheet3!A:A, MATCH(G142, Sheet3!B:B, 0))</f>
        <v>4</v>
      </c>
      <c r="S142" s="121" t="s">
        <v>432</v>
      </c>
      <c r="T142" t="str">
        <f t="shared" si="11"/>
        <v>199204042019021004.jpg</v>
      </c>
    </row>
    <row r="143" spans="1:20" ht="15.75" x14ac:dyDescent="0.25">
      <c r="A143" s="10" t="s">
        <v>275</v>
      </c>
      <c r="B143" s="93">
        <v>1.99511082022032E+17</v>
      </c>
      <c r="C143" s="12">
        <v>11</v>
      </c>
      <c r="D143" s="12">
        <v>1995</v>
      </c>
      <c r="E143" s="12" t="s">
        <v>276</v>
      </c>
      <c r="F143" s="15" t="s">
        <v>41</v>
      </c>
      <c r="G143" s="48" t="s">
        <v>13</v>
      </c>
      <c r="H143" t="str">
        <f>LEFT(E143, SEARCH(",",E143)-1)</f>
        <v>III/b</v>
      </c>
      <c r="I143">
        <v>142</v>
      </c>
      <c r="J143" t="str">
        <f t="shared" si="8"/>
        <v>MAGHFlRA MAULANI, S.Kom.</v>
      </c>
      <c r="K143" t="str">
        <f t="shared" si="9"/>
        <v>199511082022032000</v>
      </c>
      <c r="L143" t="str">
        <f t="shared" si="10"/>
        <v>2</v>
      </c>
      <c r="N143">
        <v>1</v>
      </c>
      <c r="O143">
        <v>1</v>
      </c>
      <c r="P143">
        <f>INDEX(Sheet2!A:A, MATCH(F143, Sheet2!B:B, 0))</f>
        <v>12</v>
      </c>
      <c r="Q143">
        <v>2</v>
      </c>
      <c r="R143">
        <f>INDEX(Sheet3!A:A, MATCH(G143, Sheet3!B:B, 0))</f>
        <v>4</v>
      </c>
      <c r="S143" s="121" t="s">
        <v>432</v>
      </c>
      <c r="T143" t="str">
        <f t="shared" si="11"/>
        <v>199511082022032000.jpg</v>
      </c>
    </row>
    <row r="144" spans="1:20" ht="15.75" x14ac:dyDescent="0.25">
      <c r="A144" s="25" t="s">
        <v>277</v>
      </c>
      <c r="B144" s="110" t="s">
        <v>397</v>
      </c>
      <c r="C144" s="12">
        <v>7</v>
      </c>
      <c r="D144" s="12">
        <v>1992</v>
      </c>
      <c r="E144" s="12" t="s">
        <v>278</v>
      </c>
      <c r="F144" s="15" t="s">
        <v>41</v>
      </c>
      <c r="G144" s="48" t="s">
        <v>13</v>
      </c>
      <c r="H144" t="str">
        <f>LEFT(E144, SEARCH(",",E144)-1)</f>
        <v>III/a</v>
      </c>
      <c r="I144">
        <v>143</v>
      </c>
      <c r="J144" t="str">
        <f t="shared" si="8"/>
        <v>YASITA YULIANA SARI, S.S.T.Ars.</v>
      </c>
      <c r="K144" t="str">
        <f t="shared" si="9"/>
        <v>199207142015032002</v>
      </c>
      <c r="L144" t="str">
        <f t="shared" si="10"/>
        <v>2</v>
      </c>
      <c r="N144">
        <v>1</v>
      </c>
      <c r="O144">
        <v>1</v>
      </c>
      <c r="P144">
        <f>INDEX(Sheet2!A:A, MATCH(F144, Sheet2!B:B, 0))</f>
        <v>12</v>
      </c>
      <c r="Q144">
        <v>2</v>
      </c>
      <c r="R144">
        <f>INDEX(Sheet3!A:A, MATCH(G144, Sheet3!B:B, 0))</f>
        <v>4</v>
      </c>
      <c r="S144" s="121" t="s">
        <v>432</v>
      </c>
      <c r="T144" t="str">
        <f t="shared" si="11"/>
        <v>199207142015032002.jpg</v>
      </c>
    </row>
    <row r="145" spans="1:20" ht="15.75" x14ac:dyDescent="0.25">
      <c r="A145" s="23" t="s">
        <v>279</v>
      </c>
      <c r="B145" s="85" t="s">
        <v>398</v>
      </c>
      <c r="C145" s="12">
        <v>2</v>
      </c>
      <c r="D145" s="12">
        <v>1987</v>
      </c>
      <c r="E145" s="12" t="s">
        <v>40</v>
      </c>
      <c r="F145" s="13" t="s">
        <v>41</v>
      </c>
      <c r="G145" s="48" t="s">
        <v>3</v>
      </c>
      <c r="H145" t="str">
        <f>LEFT(E145, SEARCH(",",E145)-1)</f>
        <v>III/b</v>
      </c>
      <c r="I145">
        <v>144</v>
      </c>
      <c r="J145" t="str">
        <f t="shared" si="8"/>
        <v>BRIGIDA ARIE MINARTININGTYAS,S.Kom., M.Kom.</v>
      </c>
      <c r="K145" t="str">
        <f t="shared" si="9"/>
        <v>198702012022032001</v>
      </c>
      <c r="L145" t="str">
        <f t="shared" si="10"/>
        <v>2</v>
      </c>
      <c r="N145">
        <v>1</v>
      </c>
      <c r="O145">
        <v>1</v>
      </c>
      <c r="P145">
        <f>INDEX(Sheet2!A:A, MATCH(F145, Sheet2!B:B, 0))</f>
        <v>12</v>
      </c>
      <c r="Q145">
        <v>2</v>
      </c>
      <c r="R145">
        <f>INDEX(Sheet3!A:A, MATCH(G145, Sheet3!B:B, 0))</f>
        <v>3</v>
      </c>
      <c r="S145" s="121" t="s">
        <v>432</v>
      </c>
      <c r="T145" t="str">
        <f t="shared" si="11"/>
        <v>198702012022032001.jpg</v>
      </c>
    </row>
    <row r="146" spans="1:20" ht="15.75" x14ac:dyDescent="0.25">
      <c r="A146" s="13" t="s">
        <v>280</v>
      </c>
      <c r="B146" s="85" t="s">
        <v>399</v>
      </c>
      <c r="C146" s="12">
        <v>4</v>
      </c>
      <c r="D146" s="12">
        <v>1980</v>
      </c>
      <c r="E146" s="12" t="s">
        <v>278</v>
      </c>
      <c r="F146" s="15" t="s">
        <v>41</v>
      </c>
      <c r="G146" s="48" t="s">
        <v>13</v>
      </c>
      <c r="H146" t="str">
        <f>LEFT(E146, SEARCH(",",E146)-1)</f>
        <v>III/a</v>
      </c>
      <c r="I146">
        <v>145</v>
      </c>
      <c r="J146" t="str">
        <f t="shared" si="8"/>
        <v>SULPICIUS SUHERYANTO, S.AP</v>
      </c>
      <c r="K146" t="str">
        <f t="shared" si="9"/>
        <v>198004192014021001</v>
      </c>
      <c r="L146" t="str">
        <f t="shared" si="10"/>
        <v>1</v>
      </c>
      <c r="N146">
        <v>1</v>
      </c>
      <c r="O146">
        <v>1</v>
      </c>
      <c r="P146">
        <f>INDEX(Sheet2!A:A, MATCH(F146, Sheet2!B:B, 0))</f>
        <v>12</v>
      </c>
      <c r="Q146">
        <v>2</v>
      </c>
      <c r="R146">
        <f>INDEX(Sheet3!A:A, MATCH(G146, Sheet3!B:B, 0))</f>
        <v>4</v>
      </c>
      <c r="S146" s="121" t="s">
        <v>432</v>
      </c>
      <c r="T146" t="str">
        <f t="shared" si="11"/>
        <v>198004192014021001.jpg</v>
      </c>
    </row>
    <row r="147" spans="1:20" ht="15.75" x14ac:dyDescent="0.25">
      <c r="A147" s="10" t="s">
        <v>281</v>
      </c>
      <c r="B147" s="85" t="s">
        <v>400</v>
      </c>
      <c r="C147" s="12">
        <v>3</v>
      </c>
      <c r="D147" s="12">
        <v>1990</v>
      </c>
      <c r="E147" s="12" t="s">
        <v>80</v>
      </c>
      <c r="F147" s="13" t="s">
        <v>41</v>
      </c>
      <c r="G147" s="14" t="s">
        <v>13</v>
      </c>
      <c r="H147" t="str">
        <f>LEFT(E147, SEARCH(",",E147)-1)</f>
        <v>III/b</v>
      </c>
      <c r="I147">
        <v>146</v>
      </c>
      <c r="J147" t="str">
        <f t="shared" si="8"/>
        <v>WENING PRASETYO PAMEKAS, S.AP</v>
      </c>
      <c r="K147" t="str">
        <f t="shared" si="9"/>
        <v>199003092014022006</v>
      </c>
      <c r="L147" t="str">
        <f t="shared" si="10"/>
        <v>2</v>
      </c>
      <c r="N147">
        <v>1</v>
      </c>
      <c r="O147">
        <v>1</v>
      </c>
      <c r="P147">
        <f>INDEX(Sheet2!A:A, MATCH(F147, Sheet2!B:B, 0))</f>
        <v>12</v>
      </c>
      <c r="Q147">
        <v>2</v>
      </c>
      <c r="R147">
        <f>INDEX(Sheet3!A:A, MATCH(G147, Sheet3!B:B, 0))</f>
        <v>4</v>
      </c>
      <c r="S147" s="121" t="s">
        <v>432</v>
      </c>
      <c r="T147" t="str">
        <f t="shared" si="11"/>
        <v>199003092014022006.jpg</v>
      </c>
    </row>
    <row r="148" spans="1:20" ht="15.75" x14ac:dyDescent="0.25">
      <c r="A148" s="13" t="s">
        <v>282</v>
      </c>
      <c r="B148" s="81">
        <v>1.9850306201012099E+17</v>
      </c>
      <c r="C148" s="11">
        <v>3</v>
      </c>
      <c r="D148" s="11">
        <v>1985</v>
      </c>
      <c r="E148" s="12" t="s">
        <v>18</v>
      </c>
      <c r="F148" s="13" t="s">
        <v>283</v>
      </c>
      <c r="G148" s="14" t="s">
        <v>13</v>
      </c>
      <c r="H148" t="str">
        <f>LEFT(E148, SEARCH(",",E148)-1)</f>
        <v>III/c</v>
      </c>
      <c r="I148">
        <v>147</v>
      </c>
      <c r="J148" t="str">
        <f t="shared" si="8"/>
        <v>SONY SATYA NUGRAHA, S.Kom.</v>
      </c>
      <c r="K148" t="str">
        <f t="shared" si="9"/>
        <v>198503062010121000</v>
      </c>
      <c r="L148" t="str">
        <f t="shared" si="10"/>
        <v>1</v>
      </c>
      <c r="N148">
        <v>1</v>
      </c>
      <c r="O148">
        <v>1</v>
      </c>
      <c r="P148">
        <f>INDEX(Sheet2!A:A, MATCH(F148, Sheet2!B:B, 0))</f>
        <v>49</v>
      </c>
      <c r="Q148">
        <v>2</v>
      </c>
      <c r="R148">
        <f>INDEX(Sheet3!A:A, MATCH(G148, Sheet3!B:B, 0))</f>
        <v>4</v>
      </c>
      <c r="S148" s="121" t="s">
        <v>432</v>
      </c>
      <c r="T148" t="str">
        <f t="shared" si="11"/>
        <v>198503062010121000.jpg</v>
      </c>
    </row>
    <row r="149" spans="1:20" ht="15.75" x14ac:dyDescent="0.25">
      <c r="A149" s="59" t="s">
        <v>284</v>
      </c>
      <c r="B149" s="111" t="s">
        <v>401</v>
      </c>
      <c r="C149" s="35">
        <v>7</v>
      </c>
      <c r="D149" s="35">
        <v>1992</v>
      </c>
      <c r="E149" s="35" t="s">
        <v>80</v>
      </c>
      <c r="F149" s="34" t="s">
        <v>41</v>
      </c>
      <c r="G149" s="37" t="s">
        <v>13</v>
      </c>
      <c r="H149" t="str">
        <f>LEFT(E149, SEARCH(",",E149)-1)</f>
        <v>III/b</v>
      </c>
      <c r="I149">
        <v>148</v>
      </c>
      <c r="J149" t="str">
        <f t="shared" si="8"/>
        <v xml:space="preserve">NISMA DEWI PRAPTANI, S.S.T.Ars. </v>
      </c>
      <c r="K149" t="str">
        <f t="shared" si="9"/>
        <v>199208182014022001</v>
      </c>
      <c r="L149" t="str">
        <f t="shared" si="10"/>
        <v>2</v>
      </c>
      <c r="N149">
        <v>1</v>
      </c>
      <c r="O149">
        <v>1</v>
      </c>
      <c r="P149">
        <f>INDEX(Sheet2!A:A, MATCH(F149, Sheet2!B:B, 0))</f>
        <v>12</v>
      </c>
      <c r="Q149">
        <v>2</v>
      </c>
      <c r="R149">
        <f>INDEX(Sheet3!A:A, MATCH(G149, Sheet3!B:B, 0))</f>
        <v>4</v>
      </c>
      <c r="S149" s="121" t="s">
        <v>432</v>
      </c>
      <c r="T149" t="str">
        <f t="shared" si="11"/>
        <v>199208182014022001.jpg</v>
      </c>
    </row>
    <row r="150" spans="1:20" ht="15.75" x14ac:dyDescent="0.25">
      <c r="A150" s="13" t="s">
        <v>285</v>
      </c>
      <c r="B150" s="81">
        <v>1.9681006199203101E+17</v>
      </c>
      <c r="C150" s="11">
        <v>10</v>
      </c>
      <c r="D150" s="11">
        <v>1968</v>
      </c>
      <c r="E150" s="12" t="s">
        <v>150</v>
      </c>
      <c r="F150" s="13" t="s">
        <v>146</v>
      </c>
      <c r="G150" s="14" t="s">
        <v>76</v>
      </c>
      <c r="H150" t="str">
        <f>LEFT(E150, SEARCH(",",E150)-1)</f>
        <v>III/b</v>
      </c>
      <c r="I150">
        <v>149</v>
      </c>
      <c r="J150" t="str">
        <f t="shared" si="8"/>
        <v>SURYANTA</v>
      </c>
      <c r="K150" t="str">
        <f t="shared" si="9"/>
        <v>196810061992031000</v>
      </c>
      <c r="L150" t="str">
        <f t="shared" si="10"/>
        <v>1</v>
      </c>
      <c r="N150">
        <v>1</v>
      </c>
      <c r="O150">
        <v>1</v>
      </c>
      <c r="P150">
        <f>INDEX(Sheet2!A:A, MATCH(F150, Sheet2!B:B, 0))</f>
        <v>33</v>
      </c>
      <c r="Q150">
        <v>2</v>
      </c>
      <c r="R150">
        <f>INDEX(Sheet3!A:A, MATCH(G150, Sheet3!B:B, 0))</f>
        <v>6</v>
      </c>
      <c r="S150" s="121" t="s">
        <v>432</v>
      </c>
      <c r="T150" t="str">
        <f t="shared" si="11"/>
        <v>196810061992031000.jpg</v>
      </c>
    </row>
    <row r="151" spans="1:20" ht="15.75" x14ac:dyDescent="0.25">
      <c r="A151" s="10" t="s">
        <v>286</v>
      </c>
      <c r="B151" s="81">
        <v>1.9770222199803101E+17</v>
      </c>
      <c r="C151" s="11">
        <v>2</v>
      </c>
      <c r="D151" s="11">
        <v>1977</v>
      </c>
      <c r="E151" s="12" t="s">
        <v>287</v>
      </c>
      <c r="F151" s="13" t="s">
        <v>146</v>
      </c>
      <c r="G151" s="14" t="s">
        <v>76</v>
      </c>
      <c r="H151" t="str">
        <f>LEFT(E151, SEARCH(",",E151)-1)</f>
        <v>III/b</v>
      </c>
      <c r="I151">
        <v>150</v>
      </c>
      <c r="J151" t="str">
        <f t="shared" si="8"/>
        <v>EKO MARTIYANTO PRAYOGI</v>
      </c>
      <c r="K151" t="str">
        <f t="shared" si="9"/>
        <v>197702221998031000</v>
      </c>
      <c r="L151" t="str">
        <f t="shared" si="10"/>
        <v>1</v>
      </c>
      <c r="N151">
        <v>1</v>
      </c>
      <c r="O151">
        <v>1</v>
      </c>
      <c r="P151">
        <f>INDEX(Sheet2!A:A, MATCH(F151, Sheet2!B:B, 0))</f>
        <v>33</v>
      </c>
      <c r="Q151">
        <v>2</v>
      </c>
      <c r="R151">
        <f>INDEX(Sheet3!A:A, MATCH(G151, Sheet3!B:B, 0))</f>
        <v>6</v>
      </c>
      <c r="S151" s="121" t="s">
        <v>432</v>
      </c>
      <c r="T151" t="str">
        <f t="shared" si="11"/>
        <v>197702221998031000.jpg</v>
      </c>
    </row>
    <row r="152" spans="1:20" ht="15.75" x14ac:dyDescent="0.25">
      <c r="A152" s="13" t="s">
        <v>288</v>
      </c>
      <c r="B152" s="93">
        <v>1.9880723202012099E+17</v>
      </c>
      <c r="C152" s="12">
        <v>7</v>
      </c>
      <c r="D152" s="12">
        <v>1988</v>
      </c>
      <c r="E152" s="12" t="s">
        <v>27</v>
      </c>
      <c r="F152" s="13" t="s">
        <v>289</v>
      </c>
      <c r="G152" s="14" t="s">
        <v>13</v>
      </c>
      <c r="H152" t="str">
        <f>LEFT(E152, SEARCH(",",E152)-1)</f>
        <v>III/b</v>
      </c>
      <c r="I152">
        <v>151</v>
      </c>
      <c r="J152" t="str">
        <f t="shared" si="8"/>
        <v>ISNAINI ARDI SAPUTRA, S.Si.</v>
      </c>
      <c r="K152" t="str">
        <f t="shared" si="9"/>
        <v>198807232020121000</v>
      </c>
      <c r="L152" t="str">
        <f t="shared" si="10"/>
        <v>1</v>
      </c>
      <c r="N152">
        <v>1</v>
      </c>
      <c r="O152">
        <v>1</v>
      </c>
      <c r="P152">
        <f>INDEX(Sheet2!A:A, MATCH(F152, Sheet2!B:B, 0))</f>
        <v>50</v>
      </c>
      <c r="Q152">
        <v>2</v>
      </c>
      <c r="R152">
        <f>INDEX(Sheet3!A:A, MATCH(G152, Sheet3!B:B, 0))</f>
        <v>4</v>
      </c>
      <c r="S152" s="121" t="s">
        <v>432</v>
      </c>
      <c r="T152" t="str">
        <f t="shared" si="11"/>
        <v>198807232020121000.jpg</v>
      </c>
    </row>
    <row r="153" spans="1:20" ht="15.75" x14ac:dyDescent="0.25">
      <c r="A153" s="13" t="s">
        <v>290</v>
      </c>
      <c r="B153" s="93">
        <v>1.99411212022032E+17</v>
      </c>
      <c r="C153" s="12">
        <v>11</v>
      </c>
      <c r="D153" s="12">
        <v>1994</v>
      </c>
      <c r="E153" s="12" t="s">
        <v>56</v>
      </c>
      <c r="F153" s="13" t="s">
        <v>289</v>
      </c>
      <c r="G153" s="14" t="s">
        <v>13</v>
      </c>
      <c r="H153" t="str">
        <f>LEFT(E153, SEARCH(",",E153)-1)</f>
        <v>III/b</v>
      </c>
      <c r="I153">
        <v>152</v>
      </c>
      <c r="J153" t="str">
        <f t="shared" si="8"/>
        <v>ANNISA ARTI JAYANTI, S.Kom.</v>
      </c>
      <c r="K153" t="str">
        <f t="shared" si="9"/>
        <v>199411212022032000</v>
      </c>
      <c r="L153" t="str">
        <f t="shared" si="10"/>
        <v>2</v>
      </c>
      <c r="N153">
        <v>1</v>
      </c>
      <c r="O153">
        <v>1</v>
      </c>
      <c r="P153">
        <f>INDEX(Sheet2!A:A, MATCH(F153, Sheet2!B:B, 0))</f>
        <v>50</v>
      </c>
      <c r="Q153">
        <v>2</v>
      </c>
      <c r="R153">
        <f>INDEX(Sheet3!A:A, MATCH(G153, Sheet3!B:B, 0))</f>
        <v>4</v>
      </c>
      <c r="S153" s="121" t="s">
        <v>432</v>
      </c>
      <c r="T153" t="str">
        <f t="shared" si="11"/>
        <v>199411212022032000.jpg</v>
      </c>
    </row>
    <row r="154" spans="1:20" ht="15.75" x14ac:dyDescent="0.25">
      <c r="A154" s="13" t="s">
        <v>291</v>
      </c>
      <c r="B154" s="93">
        <v>1.9790225200812099E+17</v>
      </c>
      <c r="C154" s="12">
        <v>2</v>
      </c>
      <c r="D154" s="12">
        <v>1979</v>
      </c>
      <c r="E154" s="12" t="s">
        <v>43</v>
      </c>
      <c r="F154" s="13" t="s">
        <v>289</v>
      </c>
      <c r="G154" s="14" t="s">
        <v>13</v>
      </c>
      <c r="H154" t="str">
        <f>LEFT(E154, SEARCH(",",E154)-1)</f>
        <v>III/c</v>
      </c>
      <c r="I154">
        <v>153</v>
      </c>
      <c r="J154" t="str">
        <f t="shared" si="8"/>
        <v>FIDDYANTO HIDAYAT, S, Kom.</v>
      </c>
      <c r="K154" t="str">
        <f t="shared" si="9"/>
        <v>197902252008121000</v>
      </c>
      <c r="L154" t="str">
        <f t="shared" si="10"/>
        <v>1</v>
      </c>
      <c r="N154">
        <v>1</v>
      </c>
      <c r="O154">
        <v>1</v>
      </c>
      <c r="P154">
        <f>INDEX(Sheet2!A:A, MATCH(F154, Sheet2!B:B, 0))</f>
        <v>50</v>
      </c>
      <c r="Q154">
        <v>2</v>
      </c>
      <c r="R154">
        <f>INDEX(Sheet3!A:A, MATCH(G154, Sheet3!B:B, 0))</f>
        <v>4</v>
      </c>
      <c r="S154" s="121" t="s">
        <v>432</v>
      </c>
      <c r="T154" t="str">
        <f t="shared" si="11"/>
        <v>197902252008121000.jpg</v>
      </c>
    </row>
    <row r="155" spans="1:20" ht="15.75" x14ac:dyDescent="0.25">
      <c r="A155" s="10" t="s">
        <v>292</v>
      </c>
      <c r="B155" s="83">
        <v>1.9900908202203101E+17</v>
      </c>
      <c r="C155" s="12">
        <v>9</v>
      </c>
      <c r="D155" s="12">
        <v>1990</v>
      </c>
      <c r="E155" s="12" t="s">
        <v>56</v>
      </c>
      <c r="F155" s="13" t="s">
        <v>289</v>
      </c>
      <c r="G155" s="48" t="s">
        <v>13</v>
      </c>
      <c r="H155" t="str">
        <f>LEFT(E155, SEARCH(",",E155)-1)</f>
        <v>III/b</v>
      </c>
      <c r="I155">
        <v>154</v>
      </c>
      <c r="J155" t="str">
        <f t="shared" si="8"/>
        <v>MIFTAHUL ULUM, S.Kom.</v>
      </c>
      <c r="K155" t="str">
        <f t="shared" si="9"/>
        <v>199009082022031000</v>
      </c>
      <c r="L155" t="str">
        <f t="shared" si="10"/>
        <v>1</v>
      </c>
      <c r="N155">
        <v>1</v>
      </c>
      <c r="O155">
        <v>1</v>
      </c>
      <c r="P155">
        <f>INDEX(Sheet2!A:A, MATCH(F155, Sheet2!B:B, 0))</f>
        <v>50</v>
      </c>
      <c r="Q155">
        <v>2</v>
      </c>
      <c r="R155">
        <f>INDEX(Sheet3!A:A, MATCH(G155, Sheet3!B:B, 0))</f>
        <v>4</v>
      </c>
      <c r="S155" s="121" t="s">
        <v>432</v>
      </c>
      <c r="T155" t="str">
        <f t="shared" si="11"/>
        <v>199009082022031000.jpg</v>
      </c>
    </row>
    <row r="156" spans="1:20" ht="15.75" x14ac:dyDescent="0.25">
      <c r="A156" s="10" t="s">
        <v>293</v>
      </c>
      <c r="B156" s="83">
        <v>1.99208192015032E+17</v>
      </c>
      <c r="C156" s="12">
        <v>8</v>
      </c>
      <c r="D156" s="12">
        <v>1992</v>
      </c>
      <c r="E156" s="12" t="s">
        <v>43</v>
      </c>
      <c r="F156" s="13" t="s">
        <v>289</v>
      </c>
      <c r="G156" s="48" t="s">
        <v>242</v>
      </c>
      <c r="H156" t="str">
        <f>LEFT(E156, SEARCH(",",E156)-1)</f>
        <v>III/c</v>
      </c>
      <c r="I156">
        <v>155</v>
      </c>
      <c r="J156" t="str">
        <f t="shared" si="8"/>
        <v>AGUSTIN AYU KUSUMAWATI, S.Si., M.E.K.K.</v>
      </c>
      <c r="K156" t="str">
        <f t="shared" si="9"/>
        <v>199208192015032000</v>
      </c>
      <c r="L156" t="str">
        <f t="shared" si="10"/>
        <v>2</v>
      </c>
      <c r="N156">
        <v>1</v>
      </c>
      <c r="O156">
        <v>1</v>
      </c>
      <c r="P156">
        <f>INDEX(Sheet2!A:A, MATCH(F156, Sheet2!B:B, 0))</f>
        <v>50</v>
      </c>
      <c r="Q156">
        <v>2</v>
      </c>
      <c r="R156">
        <f>INDEX(Sheet3!A:A, MATCH(G156, Sheet3!B:B, 0))</f>
        <v>3</v>
      </c>
      <c r="S156" s="121" t="s">
        <v>432</v>
      </c>
      <c r="T156" t="str">
        <f t="shared" si="11"/>
        <v>199208192015032000.jpg</v>
      </c>
    </row>
    <row r="157" spans="1:20" ht="15.75" x14ac:dyDescent="0.25">
      <c r="A157" s="10" t="s">
        <v>294</v>
      </c>
      <c r="B157" s="81">
        <v>1.96806041987112E+17</v>
      </c>
      <c r="C157" s="11">
        <v>6</v>
      </c>
      <c r="D157" s="11">
        <v>1968</v>
      </c>
      <c r="E157" s="12" t="s">
        <v>295</v>
      </c>
      <c r="F157" s="13" t="s">
        <v>33</v>
      </c>
      <c r="G157" s="14" t="s">
        <v>76</v>
      </c>
      <c r="H157" t="str">
        <f>LEFT(E157, SEARCH(",",E157)-1)</f>
        <v>III/b</v>
      </c>
      <c r="I157">
        <v>156</v>
      </c>
      <c r="J157" t="str">
        <f t="shared" si="8"/>
        <v>TARMIJAH</v>
      </c>
      <c r="K157" t="str">
        <f t="shared" si="9"/>
        <v>196806041987112000</v>
      </c>
      <c r="L157" t="str">
        <f t="shared" si="10"/>
        <v>2</v>
      </c>
      <c r="N157">
        <v>1</v>
      </c>
      <c r="O157">
        <v>1</v>
      </c>
      <c r="P157">
        <f>INDEX(Sheet2!A:A, MATCH(F157, Sheet2!B:B, 0))</f>
        <v>9</v>
      </c>
      <c r="Q157">
        <v>2</v>
      </c>
      <c r="R157">
        <f>INDEX(Sheet3!A:A, MATCH(G157, Sheet3!B:B, 0))</f>
        <v>6</v>
      </c>
      <c r="S157" s="121" t="s">
        <v>432</v>
      </c>
      <c r="T157" t="str">
        <f t="shared" si="11"/>
        <v>196806041987112000.jpg</v>
      </c>
    </row>
    <row r="158" spans="1:20" ht="15.75" x14ac:dyDescent="0.25">
      <c r="A158" s="13" t="s">
        <v>296</v>
      </c>
      <c r="B158" s="93">
        <v>1.9911121202421101E+17</v>
      </c>
      <c r="C158" s="12">
        <v>11</v>
      </c>
      <c r="D158" s="12">
        <v>1991</v>
      </c>
      <c r="E158" s="12" t="s">
        <v>297</v>
      </c>
      <c r="F158" s="13" t="s">
        <v>271</v>
      </c>
      <c r="G158" s="14" t="s">
        <v>13</v>
      </c>
      <c r="H158" t="str">
        <f>E158</f>
        <v xml:space="preserve">IX </v>
      </c>
      <c r="I158">
        <v>157</v>
      </c>
      <c r="J158" t="str">
        <f t="shared" si="8"/>
        <v>FERI BENING PRIHONO, S.Kom.</v>
      </c>
      <c r="K158" t="str">
        <f t="shared" si="9"/>
        <v>199111212024211000</v>
      </c>
      <c r="L158" t="str">
        <f t="shared" si="10"/>
        <v>1</v>
      </c>
      <c r="N158">
        <v>1</v>
      </c>
      <c r="O158">
        <v>2</v>
      </c>
      <c r="P158">
        <f>INDEX(Sheet2!A:A, MATCH(F158, Sheet2!B:B, 0))</f>
        <v>48</v>
      </c>
      <c r="Q158">
        <v>2</v>
      </c>
      <c r="R158">
        <f>INDEX(Sheet3!A:A, MATCH(G158, Sheet3!B:B, 0))</f>
        <v>4</v>
      </c>
      <c r="S158" s="121" t="s">
        <v>432</v>
      </c>
      <c r="T158" t="str">
        <f t="shared" si="11"/>
        <v>199111212024211000.jpg</v>
      </c>
    </row>
    <row r="159" spans="1:20" ht="15.75" x14ac:dyDescent="0.25">
      <c r="A159" s="13" t="s">
        <v>298</v>
      </c>
      <c r="B159" s="93">
        <v>1.9860820202321101E+17</v>
      </c>
      <c r="C159" s="12">
        <v>8</v>
      </c>
      <c r="D159" s="12">
        <v>1986</v>
      </c>
      <c r="E159" s="12" t="s">
        <v>65</v>
      </c>
      <c r="F159" s="23" t="s">
        <v>160</v>
      </c>
      <c r="G159" s="14" t="s">
        <v>20</v>
      </c>
      <c r="H159" t="str">
        <f>E159</f>
        <v>VII</v>
      </c>
      <c r="I159">
        <v>158</v>
      </c>
      <c r="J159" t="str">
        <f t="shared" si="8"/>
        <v>NASRUL KURNIAWAN, A.Md.</v>
      </c>
      <c r="K159" t="str">
        <f t="shared" si="9"/>
        <v>198608202023211000</v>
      </c>
      <c r="L159" t="str">
        <f t="shared" si="10"/>
        <v>1</v>
      </c>
      <c r="N159">
        <v>1</v>
      </c>
      <c r="O159">
        <v>2</v>
      </c>
      <c r="P159">
        <f>INDEX(Sheet2!A:A, MATCH(F159, Sheet2!B:B, 0))</f>
        <v>35</v>
      </c>
      <c r="Q159">
        <v>2</v>
      </c>
      <c r="R159">
        <f>INDEX(Sheet3!A:A, MATCH(G159, Sheet3!B:B, 0))</f>
        <v>5</v>
      </c>
      <c r="S159" s="121" t="s">
        <v>432</v>
      </c>
      <c r="T159" t="str">
        <f t="shared" si="11"/>
        <v>198608202023211000.jpg</v>
      </c>
    </row>
    <row r="160" spans="1:20" ht="15.75" x14ac:dyDescent="0.25">
      <c r="A160" s="13" t="s">
        <v>299</v>
      </c>
      <c r="B160" s="95" t="s">
        <v>412</v>
      </c>
      <c r="C160" s="12">
        <v>3</v>
      </c>
      <c r="D160" s="12">
        <v>1986</v>
      </c>
      <c r="E160" s="12" t="s">
        <v>65</v>
      </c>
      <c r="F160" s="13" t="s">
        <v>100</v>
      </c>
      <c r="G160" s="14" t="s">
        <v>20</v>
      </c>
      <c r="H160" t="str">
        <f>E160</f>
        <v>VII</v>
      </c>
      <c r="I160">
        <v>159</v>
      </c>
      <c r="J160" t="str">
        <f t="shared" si="8"/>
        <v>DEFI MARDIKASARI, A.Md.</v>
      </c>
      <c r="K160" t="str">
        <f t="shared" si="9"/>
        <v>198603212024212017</v>
      </c>
      <c r="L160" t="str">
        <f>LEFT(RIGHT(K160,4), 1)</f>
        <v>2</v>
      </c>
      <c r="N160">
        <v>1</v>
      </c>
      <c r="O160">
        <v>2</v>
      </c>
      <c r="P160">
        <f>INDEX(Sheet2!A:A, MATCH(F160, Sheet2!B:B, 0))</f>
        <v>26</v>
      </c>
      <c r="Q160">
        <v>2</v>
      </c>
      <c r="R160">
        <f>INDEX(Sheet3!A:A, MATCH(G160, Sheet3!B:B, 0))</f>
        <v>5</v>
      </c>
      <c r="S160" s="121" t="s">
        <v>432</v>
      </c>
      <c r="T160" t="str">
        <f t="shared" si="11"/>
        <v>198603212024212017.jpg</v>
      </c>
    </row>
    <row r="161" spans="1:20" ht="15.75" x14ac:dyDescent="0.25">
      <c r="A161" s="13" t="s">
        <v>300</v>
      </c>
      <c r="B161" s="95" t="s">
        <v>413</v>
      </c>
      <c r="C161" s="12">
        <v>2</v>
      </c>
      <c r="D161" s="12">
        <v>1995</v>
      </c>
      <c r="E161" s="12" t="s">
        <v>65</v>
      </c>
      <c r="F161" s="13" t="s">
        <v>100</v>
      </c>
      <c r="G161" s="14" t="s">
        <v>20</v>
      </c>
      <c r="H161" t="str">
        <f>E161</f>
        <v>VII</v>
      </c>
      <c r="I161">
        <v>160</v>
      </c>
      <c r="J161" t="str">
        <f t="shared" si="8"/>
        <v>WINDI LESTARI, A.Md.A.B.</v>
      </c>
      <c r="K161" t="str">
        <f t="shared" si="9"/>
        <v>199502182024212023</v>
      </c>
      <c r="L161" t="str">
        <f>LEFT(RIGHT(K161, 4), 1)</f>
        <v>2</v>
      </c>
      <c r="N161">
        <v>1</v>
      </c>
      <c r="O161">
        <v>2</v>
      </c>
      <c r="P161">
        <f>INDEX(Sheet2!A:A, MATCH(F161, Sheet2!B:B, 0))</f>
        <v>26</v>
      </c>
      <c r="Q161">
        <v>2</v>
      </c>
      <c r="R161">
        <f>INDEX(Sheet3!A:A, MATCH(G161, Sheet3!B:B, 0))</f>
        <v>5</v>
      </c>
      <c r="S161" s="121" t="s">
        <v>432</v>
      </c>
      <c r="T161" t="str">
        <f t="shared" si="11"/>
        <v>199502182024212023.jpg</v>
      </c>
    </row>
    <row r="162" spans="1:20" ht="15.75" x14ac:dyDescent="0.25">
      <c r="A162" s="27" t="s">
        <v>301</v>
      </c>
      <c r="B162" s="112" t="s">
        <v>402</v>
      </c>
      <c r="C162" s="26">
        <v>5</v>
      </c>
      <c r="D162" s="26">
        <v>1968</v>
      </c>
      <c r="E162" s="26" t="s">
        <v>302</v>
      </c>
      <c r="F162" s="27" t="s">
        <v>303</v>
      </c>
      <c r="G162" s="28" t="s">
        <v>13</v>
      </c>
      <c r="H162" t="str">
        <f>LEFT(E162, SEARCH(",",E162)-1)</f>
        <v>III/d</v>
      </c>
      <c r="I162">
        <v>161</v>
      </c>
      <c r="J162" t="str">
        <f t="shared" si="8"/>
        <v>AHYU WULANDARI, S.Kom</v>
      </c>
      <c r="K162" t="str">
        <f t="shared" si="9"/>
        <v>196805101994032001</v>
      </c>
      <c r="L162" t="str">
        <f t="shared" si="10"/>
        <v>2</v>
      </c>
      <c r="N162">
        <v>7</v>
      </c>
      <c r="O162">
        <v>1</v>
      </c>
      <c r="P162">
        <f>INDEX(Sheet2!A:A, MATCH(F162, Sheet2!B:B, 0))</f>
        <v>51</v>
      </c>
      <c r="Q162">
        <v>2</v>
      </c>
      <c r="R162">
        <f>INDEX(Sheet3!A:A, MATCH(G162, Sheet3!B:B, 0))</f>
        <v>4</v>
      </c>
      <c r="S162" s="121" t="s">
        <v>432</v>
      </c>
      <c r="T162" t="str">
        <f t="shared" si="11"/>
        <v>196805101994032001.jpg</v>
      </c>
    </row>
    <row r="163" spans="1:20" ht="15.75" x14ac:dyDescent="0.25">
      <c r="A163" s="59" t="s">
        <v>304</v>
      </c>
      <c r="B163" s="113" t="s">
        <v>403</v>
      </c>
      <c r="C163" s="35">
        <v>11</v>
      </c>
      <c r="D163" s="35">
        <v>1988</v>
      </c>
      <c r="E163" s="35" t="s">
        <v>182</v>
      </c>
      <c r="F163" s="34" t="s">
        <v>305</v>
      </c>
      <c r="G163" s="37" t="s">
        <v>20</v>
      </c>
      <c r="H163" t="str">
        <f>LEFT(E163, SEARCH(",",E163)-1)</f>
        <v>III/b</v>
      </c>
      <c r="I163">
        <v>162</v>
      </c>
      <c r="J163" t="str">
        <f t="shared" si="8"/>
        <v>SHINTA TRI WINDARTI, A.Md</v>
      </c>
      <c r="K163" t="str">
        <f t="shared" si="9"/>
        <v>198811042015032007</v>
      </c>
      <c r="L163" t="str">
        <f t="shared" si="10"/>
        <v>2</v>
      </c>
      <c r="N163">
        <v>7</v>
      </c>
      <c r="O163">
        <v>1</v>
      </c>
      <c r="P163">
        <f>INDEX(Sheet2!A:A, MATCH(F163, Sheet2!B:B, 0))</f>
        <v>52</v>
      </c>
      <c r="Q163">
        <v>2</v>
      </c>
      <c r="R163">
        <f>INDEX(Sheet3!A:A, MATCH(G163, Sheet3!B:B, 0))</f>
        <v>5</v>
      </c>
      <c r="S163" s="121" t="s">
        <v>432</v>
      </c>
      <c r="T163" t="str">
        <f t="shared" si="11"/>
        <v>198811042015032007.jpg</v>
      </c>
    </row>
    <row r="164" spans="1:20" ht="15.75" x14ac:dyDescent="0.25">
      <c r="A164" s="59" t="s">
        <v>306</v>
      </c>
      <c r="B164" s="111" t="s">
        <v>404</v>
      </c>
      <c r="C164" s="35">
        <v>10</v>
      </c>
      <c r="D164" s="35">
        <v>1986</v>
      </c>
      <c r="E164" s="35" t="s">
        <v>80</v>
      </c>
      <c r="F164" s="59" t="s">
        <v>144</v>
      </c>
      <c r="G164" s="66" t="s">
        <v>13</v>
      </c>
      <c r="H164" t="str">
        <f>LEFT(E164, SEARCH(",",E164)-1)</f>
        <v>III/b</v>
      </c>
      <c r="I164">
        <v>163</v>
      </c>
      <c r="J164" t="str">
        <f t="shared" si="8"/>
        <v>HIDAYATULLOH HASANI, S.A.P</v>
      </c>
      <c r="K164" t="str">
        <f t="shared" si="9"/>
        <v>198610072015031004</v>
      </c>
      <c r="L164" t="str">
        <f t="shared" si="10"/>
        <v>1</v>
      </c>
      <c r="N164">
        <v>7</v>
      </c>
      <c r="O164">
        <v>1</v>
      </c>
      <c r="P164">
        <f>INDEX(Sheet2!A:A, MATCH(F164, Sheet2!B:B, 0))</f>
        <v>32</v>
      </c>
      <c r="Q164">
        <v>2</v>
      </c>
      <c r="R164">
        <f>INDEX(Sheet3!A:A, MATCH(G164, Sheet3!B:B, 0))</f>
        <v>4</v>
      </c>
      <c r="S164" s="121" t="s">
        <v>432</v>
      </c>
      <c r="T164" t="str">
        <f t="shared" si="11"/>
        <v>198610072015031004.jpg</v>
      </c>
    </row>
    <row r="165" spans="1:20" ht="15.75" x14ac:dyDescent="0.25">
      <c r="A165" s="67" t="s">
        <v>307</v>
      </c>
      <c r="B165" s="114">
        <v>1.9900113201012198E+17</v>
      </c>
      <c r="C165" s="68">
        <v>1</v>
      </c>
      <c r="D165" s="69">
        <v>1990</v>
      </c>
      <c r="E165" s="70" t="s">
        <v>176</v>
      </c>
      <c r="F165" s="71" t="s">
        <v>16</v>
      </c>
      <c r="G165" s="72" t="s">
        <v>13</v>
      </c>
      <c r="H165" t="str">
        <f>LEFT(E165, SEARCH(",",E165)-1)</f>
        <v>III/c</v>
      </c>
      <c r="I165">
        <v>164</v>
      </c>
      <c r="J165" t="str">
        <f t="shared" si="8"/>
        <v>DWI FIRSAYANTI, S.Sos</v>
      </c>
      <c r="K165" t="str">
        <f t="shared" si="9"/>
        <v>199001132010122000</v>
      </c>
      <c r="L165" t="str">
        <f t="shared" si="10"/>
        <v>2</v>
      </c>
      <c r="N165">
        <v>7</v>
      </c>
      <c r="O165">
        <v>1</v>
      </c>
      <c r="P165">
        <f>INDEX(Sheet2!A:A, MATCH(F165, Sheet2!B:B, 0))</f>
        <v>5</v>
      </c>
      <c r="Q165">
        <v>2</v>
      </c>
      <c r="R165">
        <f>INDEX(Sheet3!A:A, MATCH(G165, Sheet3!B:B, 0))</f>
        <v>4</v>
      </c>
      <c r="S165" s="121" t="s">
        <v>432</v>
      </c>
      <c r="T165" t="str">
        <f t="shared" si="11"/>
        <v>199001132010122000.jpg</v>
      </c>
    </row>
    <row r="166" spans="1:20" ht="15.75" x14ac:dyDescent="0.25">
      <c r="A166" s="36" t="s">
        <v>308</v>
      </c>
      <c r="B166" s="94" t="s">
        <v>309</v>
      </c>
      <c r="C166" s="36">
        <v>5</v>
      </c>
      <c r="D166" s="36">
        <v>2000</v>
      </c>
      <c r="E166" s="35" t="s">
        <v>91</v>
      </c>
      <c r="F166" s="36" t="s">
        <v>310</v>
      </c>
      <c r="G166" s="73" t="s">
        <v>13</v>
      </c>
      <c r="H166" t="str">
        <f>E166</f>
        <v>III/a</v>
      </c>
      <c r="I166">
        <v>165</v>
      </c>
      <c r="J166" t="str">
        <f t="shared" si="8"/>
        <v>FATHAN HUDYAUSSIE SANTOSO, S.T.</v>
      </c>
      <c r="K166" t="str">
        <f t="shared" si="9"/>
        <v>200005302025061004</v>
      </c>
      <c r="L166" t="str">
        <f t="shared" si="10"/>
        <v>1</v>
      </c>
      <c r="N166">
        <v>7</v>
      </c>
      <c r="O166">
        <v>1</v>
      </c>
      <c r="P166">
        <f>INDEX(Sheet2!A:A, MATCH(F166, Sheet2!B:B, 0))</f>
        <v>53</v>
      </c>
      <c r="Q166">
        <v>2</v>
      </c>
      <c r="R166">
        <f>INDEX(Sheet3!A:A, MATCH(G166, Sheet3!B:B, 0))</f>
        <v>4</v>
      </c>
      <c r="S166" s="121" t="s">
        <v>432</v>
      </c>
      <c r="T166" t="str">
        <f t="shared" si="11"/>
        <v>200005302025061004.jpg</v>
      </c>
    </row>
    <row r="167" spans="1:20" ht="15.75" x14ac:dyDescent="0.25">
      <c r="A167" s="36" t="s">
        <v>311</v>
      </c>
      <c r="B167" s="94" t="s">
        <v>312</v>
      </c>
      <c r="C167" s="36">
        <v>3</v>
      </c>
      <c r="D167" s="36">
        <v>1996</v>
      </c>
      <c r="E167" s="35" t="s">
        <v>88</v>
      </c>
      <c r="F167" s="36" t="s">
        <v>89</v>
      </c>
      <c r="G167" s="73" t="s">
        <v>20</v>
      </c>
      <c r="H167" t="str">
        <f>E167</f>
        <v>II/c</v>
      </c>
      <c r="I167">
        <v>166</v>
      </c>
      <c r="J167" t="str">
        <f t="shared" si="8"/>
        <v>NURUL IFTIANA, A.Md.Sek.</v>
      </c>
      <c r="K167" t="str">
        <f t="shared" si="9"/>
        <v>199603202025062002</v>
      </c>
      <c r="L167" t="str">
        <f t="shared" si="10"/>
        <v>2</v>
      </c>
      <c r="N167">
        <v>7</v>
      </c>
      <c r="O167">
        <v>1</v>
      </c>
      <c r="P167">
        <f>INDEX(Sheet2!A:A, MATCH(F167, Sheet2!B:B, 0))</f>
        <v>22</v>
      </c>
      <c r="Q167">
        <v>2</v>
      </c>
      <c r="R167">
        <f>INDEX(Sheet3!A:A, MATCH(G167, Sheet3!B:B, 0))</f>
        <v>5</v>
      </c>
      <c r="S167" s="121" t="s">
        <v>432</v>
      </c>
      <c r="T167" t="str">
        <f t="shared" si="11"/>
        <v>199603202025062002.jpg</v>
      </c>
    </row>
    <row r="168" spans="1:20" ht="15.75" x14ac:dyDescent="0.25">
      <c r="A168" s="36" t="s">
        <v>313</v>
      </c>
      <c r="B168" s="94" t="s">
        <v>314</v>
      </c>
      <c r="C168" s="36">
        <v>7</v>
      </c>
      <c r="D168" s="36">
        <v>2002</v>
      </c>
      <c r="E168" s="35" t="s">
        <v>88</v>
      </c>
      <c r="F168" s="36" t="s">
        <v>89</v>
      </c>
      <c r="G168" s="73" t="s">
        <v>20</v>
      </c>
      <c r="H168" t="str">
        <f>E168</f>
        <v>II/c</v>
      </c>
      <c r="I168">
        <v>167</v>
      </c>
      <c r="J168" t="str">
        <f t="shared" si="8"/>
        <v>VITARA CINTA TRIA HANIFA, A.Md.</v>
      </c>
      <c r="K168" t="str">
        <f t="shared" si="9"/>
        <v>200207252025062003</v>
      </c>
      <c r="L168" t="str">
        <f t="shared" si="10"/>
        <v>2</v>
      </c>
      <c r="N168">
        <v>7</v>
      </c>
      <c r="O168">
        <v>1</v>
      </c>
      <c r="P168">
        <f>INDEX(Sheet2!A:A, MATCH(F168, Sheet2!B:B, 0))</f>
        <v>22</v>
      </c>
      <c r="Q168">
        <v>2</v>
      </c>
      <c r="R168">
        <f>INDEX(Sheet3!A:A, MATCH(G168, Sheet3!B:B, 0))</f>
        <v>5</v>
      </c>
      <c r="S168" s="121" t="s">
        <v>432</v>
      </c>
      <c r="T168" t="str">
        <f t="shared" si="11"/>
        <v>200207252025062003.jpg</v>
      </c>
    </row>
    <row r="169" spans="1:20" ht="15.75" x14ac:dyDescent="0.25">
      <c r="A169" s="36" t="s">
        <v>315</v>
      </c>
      <c r="B169" s="94" t="s">
        <v>316</v>
      </c>
      <c r="C169" s="36">
        <v>4</v>
      </c>
      <c r="D169" s="36">
        <v>2003</v>
      </c>
      <c r="E169" s="35" t="s">
        <v>88</v>
      </c>
      <c r="F169" s="36" t="s">
        <v>317</v>
      </c>
      <c r="G169" s="73" t="s">
        <v>20</v>
      </c>
      <c r="H169" t="str">
        <f>E169</f>
        <v>II/c</v>
      </c>
      <c r="I169">
        <v>168</v>
      </c>
      <c r="J169" t="str">
        <f t="shared" si="8"/>
        <v>FATKHIYA FIRDAUSY NUZULIA SURYONEGORO, A.Md.Kom.</v>
      </c>
      <c r="K169" t="str">
        <f t="shared" si="9"/>
        <v>200304032025062001</v>
      </c>
      <c r="L169" t="str">
        <f t="shared" si="10"/>
        <v>2</v>
      </c>
      <c r="N169">
        <v>7</v>
      </c>
      <c r="O169">
        <v>1</v>
      </c>
      <c r="P169">
        <f>INDEX(Sheet2!A:A, MATCH(F169, Sheet2!B:B, 0))</f>
        <v>54</v>
      </c>
      <c r="Q169">
        <v>2</v>
      </c>
      <c r="R169">
        <f>INDEX(Sheet3!A:A, MATCH(G169, Sheet3!B:B, 0))</f>
        <v>5</v>
      </c>
      <c r="S169" s="121" t="s">
        <v>432</v>
      </c>
      <c r="T169" t="str">
        <f t="shared" si="11"/>
        <v>200304032025062001.jpg</v>
      </c>
    </row>
    <row r="170" spans="1:20" ht="15.75" x14ac:dyDescent="0.25">
      <c r="A170" s="36" t="s">
        <v>318</v>
      </c>
      <c r="B170" s="94" t="s">
        <v>319</v>
      </c>
      <c r="C170" s="36">
        <v>9</v>
      </c>
      <c r="D170" s="36">
        <v>1999</v>
      </c>
      <c r="E170" s="35" t="s">
        <v>88</v>
      </c>
      <c r="F170" s="36" t="s">
        <v>317</v>
      </c>
      <c r="G170" s="73" t="s">
        <v>20</v>
      </c>
      <c r="H170" t="str">
        <f>E170</f>
        <v>II/c</v>
      </c>
      <c r="I170">
        <v>169</v>
      </c>
      <c r="J170" t="str">
        <f t="shared" si="8"/>
        <v>IBNU NAUFAL, A.Md.Kom.</v>
      </c>
      <c r="K170" t="str">
        <f t="shared" si="9"/>
        <v>199909222025061002</v>
      </c>
      <c r="L170" t="str">
        <f t="shared" si="10"/>
        <v>1</v>
      </c>
      <c r="N170">
        <v>7</v>
      </c>
      <c r="O170">
        <v>1</v>
      </c>
      <c r="P170">
        <f>INDEX(Sheet2!A:A, MATCH(F170, Sheet2!B:B, 0))</f>
        <v>54</v>
      </c>
      <c r="Q170">
        <v>2</v>
      </c>
      <c r="R170">
        <f>INDEX(Sheet3!A:A, MATCH(G170, Sheet3!B:B, 0))</f>
        <v>5</v>
      </c>
      <c r="S170" s="121" t="s">
        <v>432</v>
      </c>
      <c r="T170" t="str">
        <f t="shared" si="11"/>
        <v>199909222025061002.jpg</v>
      </c>
    </row>
    <row r="171" spans="1:20" ht="15.75" x14ac:dyDescent="0.25">
      <c r="A171" s="36" t="s">
        <v>320</v>
      </c>
      <c r="B171" s="94" t="s">
        <v>321</v>
      </c>
      <c r="C171" s="36">
        <v>1</v>
      </c>
      <c r="D171" s="36">
        <v>1995</v>
      </c>
      <c r="E171" s="35" t="s">
        <v>88</v>
      </c>
      <c r="F171" s="36" t="s">
        <v>317</v>
      </c>
      <c r="G171" s="73" t="s">
        <v>20</v>
      </c>
      <c r="H171" t="str">
        <f>E171</f>
        <v>II/c</v>
      </c>
      <c r="I171">
        <v>170</v>
      </c>
      <c r="J171" t="str">
        <f t="shared" si="8"/>
        <v>MUCHAMAD RAGIL SAPUTRA, A.Md.Kom.</v>
      </c>
      <c r="K171" t="str">
        <f t="shared" si="9"/>
        <v>199501042025061001</v>
      </c>
      <c r="L171" t="str">
        <f t="shared" si="10"/>
        <v>1</v>
      </c>
      <c r="N171">
        <v>7</v>
      </c>
      <c r="O171">
        <v>1</v>
      </c>
      <c r="P171">
        <f>INDEX(Sheet2!A:A, MATCH(F171, Sheet2!B:B, 0))</f>
        <v>54</v>
      </c>
      <c r="Q171">
        <v>2</v>
      </c>
      <c r="R171">
        <f>INDEX(Sheet3!A:A, MATCH(G171, Sheet3!B:B, 0))</f>
        <v>5</v>
      </c>
      <c r="S171" s="121" t="s">
        <v>432</v>
      </c>
      <c r="T171" t="str">
        <f t="shared" si="11"/>
        <v>199501042025061001.jpg</v>
      </c>
    </row>
    <row r="172" spans="1:20" ht="15.75" x14ac:dyDescent="0.25">
      <c r="A172" s="36" t="s">
        <v>322</v>
      </c>
      <c r="B172" s="94" t="s">
        <v>323</v>
      </c>
      <c r="C172" s="36">
        <v>7</v>
      </c>
      <c r="D172" s="36">
        <v>1999</v>
      </c>
      <c r="E172" s="35" t="s">
        <v>88</v>
      </c>
      <c r="F172" s="74" t="s">
        <v>324</v>
      </c>
      <c r="G172" s="73" t="s">
        <v>20</v>
      </c>
      <c r="H172" t="str">
        <f>E172</f>
        <v>II/c</v>
      </c>
      <c r="I172">
        <v>171</v>
      </c>
      <c r="J172" t="str">
        <f t="shared" si="8"/>
        <v>AHMAD ALI AZHARY, A.Md.Kom.</v>
      </c>
      <c r="K172" t="str">
        <f t="shared" si="9"/>
        <v>199907252025061001</v>
      </c>
      <c r="L172" t="str">
        <f t="shared" si="10"/>
        <v>1</v>
      </c>
      <c r="N172">
        <v>7</v>
      </c>
      <c r="O172">
        <v>1</v>
      </c>
      <c r="P172">
        <f>INDEX(Sheet2!A:A, MATCH(F172, Sheet2!B:B, 0))</f>
        <v>55</v>
      </c>
      <c r="Q172">
        <v>2</v>
      </c>
      <c r="R172">
        <f>INDEX(Sheet3!A:A, MATCH(G172, Sheet3!B:B, 0))</f>
        <v>5</v>
      </c>
      <c r="S172" s="121" t="s">
        <v>432</v>
      </c>
      <c r="T172" t="str">
        <f t="shared" si="11"/>
        <v>199907252025061001.jpg</v>
      </c>
    </row>
    <row r="173" spans="1:20" ht="15.75" x14ac:dyDescent="0.25">
      <c r="A173" s="36" t="s">
        <v>325</v>
      </c>
      <c r="B173" s="94" t="s">
        <v>326</v>
      </c>
      <c r="C173" s="36">
        <v>4</v>
      </c>
      <c r="D173" s="36">
        <v>1990</v>
      </c>
      <c r="E173" s="35" t="s">
        <v>88</v>
      </c>
      <c r="F173" s="36" t="s">
        <v>324</v>
      </c>
      <c r="G173" s="73" t="s">
        <v>20</v>
      </c>
      <c r="H173" t="str">
        <f>E173</f>
        <v>II/c</v>
      </c>
      <c r="I173">
        <v>172</v>
      </c>
      <c r="J173" t="str">
        <f t="shared" si="8"/>
        <v>LAILA ZORAYA AHMAD, A.Md.</v>
      </c>
      <c r="K173" t="str">
        <f t="shared" si="9"/>
        <v>199004102025062001</v>
      </c>
      <c r="L173" t="str">
        <f t="shared" si="10"/>
        <v>2</v>
      </c>
      <c r="N173">
        <v>7</v>
      </c>
      <c r="O173">
        <v>1</v>
      </c>
      <c r="P173">
        <f>INDEX(Sheet2!A:A, MATCH(F173, Sheet2!B:B, 0))</f>
        <v>55</v>
      </c>
      <c r="Q173">
        <v>2</v>
      </c>
      <c r="R173">
        <f>INDEX(Sheet3!A:A, MATCH(G173, Sheet3!B:B, 0))</f>
        <v>5</v>
      </c>
      <c r="S173" s="121" t="s">
        <v>432</v>
      </c>
      <c r="T173" t="str">
        <f t="shared" si="11"/>
        <v>199004102025062001.jpg</v>
      </c>
    </row>
    <row r="174" spans="1:20" ht="15.75" x14ac:dyDescent="0.25">
      <c r="A174" s="36" t="s">
        <v>327</v>
      </c>
      <c r="B174" s="94" t="s">
        <v>328</v>
      </c>
      <c r="C174" s="36">
        <v>8</v>
      </c>
      <c r="D174" s="36">
        <v>1997</v>
      </c>
      <c r="E174" s="35" t="s">
        <v>91</v>
      </c>
      <c r="F174" s="36" t="s">
        <v>329</v>
      </c>
      <c r="G174" s="73" t="s">
        <v>13</v>
      </c>
      <c r="H174" t="str">
        <f>E174</f>
        <v>III/a</v>
      </c>
      <c r="I174">
        <v>173</v>
      </c>
      <c r="J174" t="str">
        <f t="shared" si="8"/>
        <v>AGUS AHMAD KHOIR, S.Kom.</v>
      </c>
      <c r="K174" t="str">
        <f t="shared" si="9"/>
        <v>199708202025061001</v>
      </c>
      <c r="L174" t="str">
        <f t="shared" si="10"/>
        <v>1</v>
      </c>
      <c r="N174">
        <v>7</v>
      </c>
      <c r="O174">
        <v>1</v>
      </c>
      <c r="P174">
        <f>INDEX(Sheet2!A:A, MATCH(F174, Sheet2!B:B, 0))</f>
        <v>56</v>
      </c>
      <c r="Q174">
        <v>2</v>
      </c>
      <c r="R174">
        <f>INDEX(Sheet3!A:A, MATCH(G174, Sheet3!B:B, 0))</f>
        <v>4</v>
      </c>
      <c r="S174" s="121" t="s">
        <v>432</v>
      </c>
      <c r="T174" t="str">
        <f t="shared" si="11"/>
        <v>199708202025061001.jpg</v>
      </c>
    </row>
    <row r="175" spans="1:20" ht="15.75" x14ac:dyDescent="0.25">
      <c r="A175" s="36" t="s">
        <v>330</v>
      </c>
      <c r="B175" s="94" t="s">
        <v>331</v>
      </c>
      <c r="C175" s="36">
        <v>2</v>
      </c>
      <c r="D175" s="36">
        <v>2001</v>
      </c>
      <c r="E175" s="35" t="s">
        <v>91</v>
      </c>
      <c r="F175" s="36" t="s">
        <v>329</v>
      </c>
      <c r="G175" s="73" t="s">
        <v>13</v>
      </c>
      <c r="H175" t="str">
        <f>E175</f>
        <v>III/a</v>
      </c>
      <c r="I175">
        <v>174</v>
      </c>
      <c r="J175" t="str">
        <f t="shared" si="8"/>
        <v>ARDI NUR HANDOYO MUKTI, S.Kom.</v>
      </c>
      <c r="K175" t="str">
        <f t="shared" si="9"/>
        <v>200102022025061001</v>
      </c>
      <c r="L175" t="str">
        <f t="shared" si="10"/>
        <v>1</v>
      </c>
      <c r="N175">
        <v>7</v>
      </c>
      <c r="O175">
        <v>1</v>
      </c>
      <c r="P175">
        <f>INDEX(Sheet2!A:A, MATCH(F175, Sheet2!B:B, 0))</f>
        <v>56</v>
      </c>
      <c r="Q175">
        <v>2</v>
      </c>
      <c r="R175">
        <f>INDEX(Sheet3!A:A, MATCH(G175, Sheet3!B:B, 0))</f>
        <v>4</v>
      </c>
      <c r="S175" s="121" t="s">
        <v>432</v>
      </c>
      <c r="T175" t="str">
        <f t="shared" si="11"/>
        <v>200102022025061001.jpg</v>
      </c>
    </row>
    <row r="176" spans="1:20" ht="15.75" x14ac:dyDescent="0.25">
      <c r="A176" s="36" t="s">
        <v>332</v>
      </c>
      <c r="B176" s="94" t="s">
        <v>333</v>
      </c>
      <c r="C176" s="36">
        <v>9</v>
      </c>
      <c r="D176" s="36">
        <v>2000</v>
      </c>
      <c r="E176" s="35" t="s">
        <v>91</v>
      </c>
      <c r="F176" s="36" t="s">
        <v>92</v>
      </c>
      <c r="G176" s="73" t="s">
        <v>13</v>
      </c>
      <c r="H176" t="str">
        <f>E176</f>
        <v>III/a</v>
      </c>
      <c r="I176">
        <v>175</v>
      </c>
      <c r="J176" t="str">
        <f t="shared" si="8"/>
        <v>M. FAQIH FAJRUNNAJA, S.T.</v>
      </c>
      <c r="K176" t="str">
        <f t="shared" si="9"/>
        <v>200009012025061005</v>
      </c>
      <c r="L176" t="str">
        <f t="shared" si="10"/>
        <v>1</v>
      </c>
      <c r="N176">
        <v>7</v>
      </c>
      <c r="O176">
        <v>1</v>
      </c>
      <c r="P176">
        <f>INDEX(Sheet2!A:A, MATCH(F176, Sheet2!B:B, 0))</f>
        <v>23</v>
      </c>
      <c r="Q176">
        <v>2</v>
      </c>
      <c r="R176">
        <f>INDEX(Sheet3!A:A, MATCH(G176, Sheet3!B:B, 0))</f>
        <v>4</v>
      </c>
      <c r="S176" s="121" t="s">
        <v>432</v>
      </c>
      <c r="T176" t="str">
        <f t="shared" si="11"/>
        <v>200009012025061005.jpg</v>
      </c>
    </row>
    <row r="177" spans="1:20" ht="15.75" x14ac:dyDescent="0.25">
      <c r="A177" s="36" t="s">
        <v>334</v>
      </c>
      <c r="B177" s="94" t="s">
        <v>335</v>
      </c>
      <c r="C177" s="36">
        <v>7</v>
      </c>
      <c r="D177" s="36">
        <v>1998</v>
      </c>
      <c r="E177" s="35" t="s">
        <v>88</v>
      </c>
      <c r="F177" s="36" t="s">
        <v>95</v>
      </c>
      <c r="G177" s="73" t="s">
        <v>20</v>
      </c>
      <c r="H177" t="str">
        <f>E177</f>
        <v>II/c</v>
      </c>
      <c r="I177">
        <v>176</v>
      </c>
      <c r="J177" t="str">
        <f t="shared" si="8"/>
        <v>MUHAMMAD ADITYA MH, A.Md.</v>
      </c>
      <c r="K177" t="str">
        <f t="shared" si="9"/>
        <v>199807012025061002</v>
      </c>
      <c r="L177" t="str">
        <f t="shared" si="10"/>
        <v>1</v>
      </c>
      <c r="N177">
        <v>7</v>
      </c>
      <c r="O177">
        <v>1</v>
      </c>
      <c r="P177">
        <f>INDEX(Sheet2!A:A, MATCH(F177, Sheet2!B:B, 0))</f>
        <v>24</v>
      </c>
      <c r="Q177">
        <v>2</v>
      </c>
      <c r="R177">
        <f>INDEX(Sheet3!A:A, MATCH(G177, Sheet3!B:B, 0))</f>
        <v>5</v>
      </c>
      <c r="S177" s="121" t="s">
        <v>432</v>
      </c>
      <c r="T177" t="str">
        <f t="shared" si="11"/>
        <v>199807012025061002.jpg</v>
      </c>
    </row>
    <row r="178" spans="1:20" ht="15.75" x14ac:dyDescent="0.25">
      <c r="A178" s="59" t="s">
        <v>336</v>
      </c>
      <c r="B178" s="105">
        <v>1.9930820201902202E+17</v>
      </c>
      <c r="C178" s="35">
        <v>8</v>
      </c>
      <c r="D178" s="35">
        <v>1993</v>
      </c>
      <c r="E178" s="35" t="s">
        <v>71</v>
      </c>
      <c r="F178" s="75" t="s">
        <v>337</v>
      </c>
      <c r="G178" s="76" t="s">
        <v>13</v>
      </c>
      <c r="H178" t="str">
        <f>E178</f>
        <v>III/b</v>
      </c>
      <c r="I178">
        <v>177</v>
      </c>
      <c r="J178" t="str">
        <f t="shared" si="8"/>
        <v>ERIKA DWI ANDININGTYAS, S.E.</v>
      </c>
      <c r="K178" t="str">
        <f t="shared" si="9"/>
        <v>199308202019022000</v>
      </c>
      <c r="L178" t="str">
        <f t="shared" si="10"/>
        <v>2</v>
      </c>
      <c r="N178">
        <v>7</v>
      </c>
      <c r="O178">
        <v>5</v>
      </c>
      <c r="P178">
        <f>INDEX(Sheet2!A:A, MATCH(F178, Sheet2!B:B, 0))</f>
        <v>57</v>
      </c>
      <c r="Q178">
        <v>2</v>
      </c>
      <c r="R178">
        <f>INDEX(Sheet3!A:A, MATCH(G178, Sheet3!B:B, 0))</f>
        <v>4</v>
      </c>
      <c r="S178" s="121" t="s">
        <v>432</v>
      </c>
      <c r="T178" t="str">
        <f t="shared" si="11"/>
        <v>199308202019022000.jpg</v>
      </c>
    </row>
    <row r="179" spans="1:20" ht="16.5" customHeight="1" x14ac:dyDescent="0.25">
      <c r="A179" s="59" t="s">
        <v>338</v>
      </c>
      <c r="B179" s="115" t="s">
        <v>414</v>
      </c>
      <c r="C179" s="35">
        <v>11</v>
      </c>
      <c r="D179" s="35">
        <v>1969</v>
      </c>
      <c r="E179" s="35" t="s">
        <v>339</v>
      </c>
      <c r="F179" s="34" t="s">
        <v>229</v>
      </c>
      <c r="G179" s="76" t="s">
        <v>3</v>
      </c>
      <c r="H179" t="str">
        <f>E179</f>
        <v>III/d</v>
      </c>
      <c r="I179">
        <v>178</v>
      </c>
      <c r="J179" t="str">
        <f t="shared" si="8"/>
        <v>PUTUT DWI SULISTYANTO, S.Sos.,M.M.</v>
      </c>
      <c r="K179" t="str">
        <f t="shared" si="9"/>
        <v>196910261995111001</v>
      </c>
      <c r="L179" t="str">
        <f t="shared" si="10"/>
        <v>1</v>
      </c>
      <c r="N179">
        <v>7</v>
      </c>
      <c r="O179">
        <v>1</v>
      </c>
      <c r="P179">
        <f>INDEX(Sheet2!A:A, MATCH(F179, Sheet2!B:B, 0))</f>
        <v>42</v>
      </c>
      <c r="Q179">
        <v>2</v>
      </c>
      <c r="R179">
        <f>INDEX(Sheet3!A:A, MATCH(G179, Sheet3!B:B, 0))</f>
        <v>3</v>
      </c>
      <c r="S179" s="121" t="s">
        <v>432</v>
      </c>
      <c r="T179" t="str">
        <f t="shared" si="11"/>
        <v>196910261995111001.jpg</v>
      </c>
    </row>
    <row r="180" spans="1:20" ht="13.5" customHeight="1" x14ac:dyDescent="0.25">
      <c r="A180" s="10" t="s">
        <v>340</v>
      </c>
      <c r="B180" s="116" t="s">
        <v>415</v>
      </c>
      <c r="C180" s="12">
        <v>4</v>
      </c>
      <c r="D180" s="12">
        <v>1988</v>
      </c>
      <c r="E180" s="12" t="s">
        <v>110</v>
      </c>
      <c r="F180" s="13" t="s">
        <v>114</v>
      </c>
      <c r="G180" s="14" t="s">
        <v>115</v>
      </c>
      <c r="H180" t="str">
        <f>E180</f>
        <v>V</v>
      </c>
      <c r="I180">
        <v>179</v>
      </c>
      <c r="J180" t="str">
        <f t="shared" si="8"/>
        <v>AHMAD KOMARUDIN</v>
      </c>
      <c r="K180" t="str">
        <f t="shared" si="9"/>
        <v>198804042025211044</v>
      </c>
      <c r="L180" t="str">
        <f t="shared" si="10"/>
        <v>1</v>
      </c>
      <c r="N180">
        <v>7</v>
      </c>
      <c r="O180">
        <v>2</v>
      </c>
      <c r="P180">
        <f>INDEX(Sheet2!A:A, MATCH(F180, Sheet2!B:B, 0))</f>
        <v>29</v>
      </c>
      <c r="Q180">
        <v>2</v>
      </c>
      <c r="R180">
        <f>INDEX(Sheet3!A:A, MATCH(G180, Sheet3!B:B, 0))</f>
        <v>6</v>
      </c>
      <c r="S180" s="121" t="s">
        <v>432</v>
      </c>
      <c r="T180" t="str">
        <f t="shared" si="11"/>
        <v>198804042025211044.jpg</v>
      </c>
    </row>
    <row r="182" spans="1:20" x14ac:dyDescent="0.25">
      <c r="E182" s="17" t="s">
        <v>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F44C-0C70-4C18-9BF9-0013BF48573B}">
  <dimension ref="A1:B58"/>
  <sheetViews>
    <sheetView workbookViewId="0">
      <selection activeCell="E7" sqref="E7"/>
    </sheetView>
  </sheetViews>
  <sheetFormatPr defaultRowHeight="15" x14ac:dyDescent="0.25"/>
  <cols>
    <col min="1" max="1" width="10.28515625" bestFit="1" customWidth="1"/>
    <col min="2" max="2" width="57.28515625" customWidth="1"/>
  </cols>
  <sheetData>
    <row r="1" spans="1:2" x14ac:dyDescent="0.25">
      <c r="A1" t="s">
        <v>422</v>
      </c>
      <c r="B1" t="s">
        <v>421</v>
      </c>
    </row>
    <row r="2" spans="1:2" x14ac:dyDescent="0.25">
      <c r="A2">
        <v>1</v>
      </c>
      <c r="B2" s="4" t="s">
        <v>2</v>
      </c>
    </row>
    <row r="3" spans="1:2" x14ac:dyDescent="0.25">
      <c r="A3">
        <v>2</v>
      </c>
      <c r="B3" s="8" t="s">
        <v>6</v>
      </c>
    </row>
    <row r="4" spans="1:2" x14ac:dyDescent="0.25">
      <c r="A4">
        <v>3</v>
      </c>
      <c r="B4" s="8" t="s">
        <v>9</v>
      </c>
    </row>
    <row r="5" spans="1:2" x14ac:dyDescent="0.25">
      <c r="A5">
        <v>4</v>
      </c>
      <c r="B5" s="13" t="s">
        <v>12</v>
      </c>
    </row>
    <row r="6" spans="1:2" x14ac:dyDescent="0.25">
      <c r="A6">
        <v>5</v>
      </c>
      <c r="B6" s="13" t="s">
        <v>16</v>
      </c>
    </row>
    <row r="7" spans="1:2" x14ac:dyDescent="0.25">
      <c r="A7">
        <v>6</v>
      </c>
      <c r="B7" s="13" t="s">
        <v>19</v>
      </c>
    </row>
    <row r="8" spans="1:2" x14ac:dyDescent="0.25">
      <c r="A8">
        <v>7</v>
      </c>
      <c r="B8" s="13" t="s">
        <v>23</v>
      </c>
    </row>
    <row r="9" spans="1:2" x14ac:dyDescent="0.25">
      <c r="A9">
        <v>8</v>
      </c>
      <c r="B9" s="13" t="s">
        <v>30</v>
      </c>
    </row>
    <row r="10" spans="1:2" x14ac:dyDescent="0.25">
      <c r="A10">
        <v>9</v>
      </c>
      <c r="B10" s="13" t="s">
        <v>33</v>
      </c>
    </row>
    <row r="11" spans="1:2" ht="17.25" customHeight="1" x14ac:dyDescent="0.25">
      <c r="A11">
        <v>10</v>
      </c>
      <c r="B11" s="38" t="s">
        <v>35</v>
      </c>
    </row>
    <row r="12" spans="1:2" x14ac:dyDescent="0.25">
      <c r="A12">
        <v>11</v>
      </c>
      <c r="B12" s="8" t="s">
        <v>37</v>
      </c>
    </row>
    <row r="13" spans="1:2" ht="15.75" customHeight="1" x14ac:dyDescent="0.25">
      <c r="A13">
        <v>12</v>
      </c>
      <c r="B13" s="58" t="s">
        <v>41</v>
      </c>
    </row>
    <row r="14" spans="1:2" x14ac:dyDescent="0.25">
      <c r="A14">
        <v>13</v>
      </c>
      <c r="B14" s="13" t="s">
        <v>46</v>
      </c>
    </row>
    <row r="15" spans="1:2" x14ac:dyDescent="0.25">
      <c r="A15">
        <v>14</v>
      </c>
      <c r="B15" s="13" t="s">
        <v>49</v>
      </c>
    </row>
    <row r="16" spans="1:2" x14ac:dyDescent="0.25">
      <c r="A16">
        <v>15</v>
      </c>
      <c r="B16" s="13" t="s">
        <v>52</v>
      </c>
    </row>
    <row r="17" spans="1:2" x14ac:dyDescent="0.25">
      <c r="A17">
        <v>16</v>
      </c>
      <c r="B17" s="13" t="s">
        <v>61</v>
      </c>
    </row>
    <row r="18" spans="1:2" x14ac:dyDescent="0.25">
      <c r="A18">
        <v>17</v>
      </c>
      <c r="B18" s="13" t="s">
        <v>66</v>
      </c>
    </row>
    <row r="19" spans="1:2" x14ac:dyDescent="0.25">
      <c r="A19">
        <v>18</v>
      </c>
      <c r="B19" s="8" t="s">
        <v>69</v>
      </c>
    </row>
    <row r="20" spans="1:2" x14ac:dyDescent="0.25">
      <c r="A20">
        <v>19</v>
      </c>
      <c r="B20" s="13" t="s">
        <v>72</v>
      </c>
    </row>
    <row r="21" spans="1:2" x14ac:dyDescent="0.25">
      <c r="A21">
        <v>20</v>
      </c>
      <c r="B21" s="13" t="s">
        <v>75</v>
      </c>
    </row>
    <row r="22" spans="1:2" x14ac:dyDescent="0.25">
      <c r="A22">
        <v>21</v>
      </c>
      <c r="B22" s="13" t="s">
        <v>81</v>
      </c>
    </row>
    <row r="23" spans="1:2" x14ac:dyDescent="0.25">
      <c r="A23">
        <v>22</v>
      </c>
      <c r="B23" s="118" t="s">
        <v>89</v>
      </c>
    </row>
    <row r="24" spans="1:2" x14ac:dyDescent="0.25">
      <c r="A24">
        <v>23</v>
      </c>
      <c r="B24" s="118" t="s">
        <v>92</v>
      </c>
    </row>
    <row r="25" spans="1:2" x14ac:dyDescent="0.25">
      <c r="A25">
        <v>24</v>
      </c>
      <c r="B25" s="118" t="s">
        <v>95</v>
      </c>
    </row>
    <row r="26" spans="1:2" x14ac:dyDescent="0.25">
      <c r="A26">
        <v>25</v>
      </c>
      <c r="B26" s="34" t="s">
        <v>97</v>
      </c>
    </row>
    <row r="27" spans="1:2" x14ac:dyDescent="0.25">
      <c r="A27">
        <v>26</v>
      </c>
      <c r="B27" s="32" t="s">
        <v>100</v>
      </c>
    </row>
    <row r="28" spans="1:2" x14ac:dyDescent="0.25">
      <c r="A28">
        <v>27</v>
      </c>
      <c r="B28" s="13" t="s">
        <v>105</v>
      </c>
    </row>
    <row r="29" spans="1:2" x14ac:dyDescent="0.25">
      <c r="A29">
        <v>28</v>
      </c>
      <c r="B29" s="13" t="s">
        <v>111</v>
      </c>
    </row>
    <row r="30" spans="1:2" x14ac:dyDescent="0.25">
      <c r="A30">
        <v>29</v>
      </c>
      <c r="B30" s="13" t="s">
        <v>114</v>
      </c>
    </row>
    <row r="31" spans="1:2" x14ac:dyDescent="0.25">
      <c r="A31">
        <v>30</v>
      </c>
      <c r="B31" s="8" t="s">
        <v>118</v>
      </c>
    </row>
    <row r="32" spans="1:2" x14ac:dyDescent="0.25">
      <c r="A32">
        <v>31</v>
      </c>
      <c r="B32" s="8" t="s">
        <v>131</v>
      </c>
    </row>
    <row r="33" spans="1:2" x14ac:dyDescent="0.25">
      <c r="A33">
        <v>32</v>
      </c>
      <c r="B33" s="13" t="s">
        <v>144</v>
      </c>
    </row>
    <row r="34" spans="1:2" x14ac:dyDescent="0.25">
      <c r="A34">
        <v>33</v>
      </c>
      <c r="B34" s="34" t="s">
        <v>146</v>
      </c>
    </row>
    <row r="35" spans="1:2" x14ac:dyDescent="0.25">
      <c r="A35">
        <v>34</v>
      </c>
      <c r="B35" s="27" t="s">
        <v>151</v>
      </c>
    </row>
    <row r="36" spans="1:2" x14ac:dyDescent="0.25">
      <c r="A36">
        <v>35</v>
      </c>
      <c r="B36" s="34" t="s">
        <v>160</v>
      </c>
    </row>
    <row r="37" spans="1:2" x14ac:dyDescent="0.25">
      <c r="A37">
        <v>36</v>
      </c>
      <c r="B37" s="27" t="s">
        <v>187</v>
      </c>
    </row>
    <row r="38" spans="1:2" x14ac:dyDescent="0.25">
      <c r="A38">
        <v>37</v>
      </c>
      <c r="B38" s="56" t="s">
        <v>204</v>
      </c>
    </row>
    <row r="39" spans="1:2" x14ac:dyDescent="0.25">
      <c r="A39">
        <v>38</v>
      </c>
      <c r="B39" s="118" t="s">
        <v>207</v>
      </c>
    </row>
    <row r="40" spans="1:2" x14ac:dyDescent="0.25">
      <c r="A40">
        <v>39</v>
      </c>
      <c r="B40" s="13" t="s">
        <v>210</v>
      </c>
    </row>
    <row r="41" spans="1:2" x14ac:dyDescent="0.25">
      <c r="A41">
        <v>40</v>
      </c>
      <c r="B41" s="13" t="s">
        <v>221</v>
      </c>
    </row>
    <row r="42" spans="1:2" x14ac:dyDescent="0.25">
      <c r="A42">
        <v>41</v>
      </c>
      <c r="B42" s="8" t="s">
        <v>225</v>
      </c>
    </row>
    <row r="43" spans="1:2" x14ac:dyDescent="0.25">
      <c r="A43">
        <v>42</v>
      </c>
      <c r="B43" s="27" t="s">
        <v>229</v>
      </c>
    </row>
    <row r="44" spans="1:2" x14ac:dyDescent="0.25">
      <c r="A44">
        <v>43</v>
      </c>
      <c r="B44" s="34" t="s">
        <v>238</v>
      </c>
    </row>
    <row r="45" spans="1:2" x14ac:dyDescent="0.25">
      <c r="A45">
        <v>44</v>
      </c>
      <c r="B45" s="63" t="s">
        <v>246</v>
      </c>
    </row>
    <row r="46" spans="1:2" x14ac:dyDescent="0.25">
      <c r="A46">
        <v>45</v>
      </c>
      <c r="B46" s="27" t="s">
        <v>249</v>
      </c>
    </row>
    <row r="47" spans="1:2" x14ac:dyDescent="0.25">
      <c r="A47">
        <v>46</v>
      </c>
      <c r="B47" s="75" t="s">
        <v>252</v>
      </c>
    </row>
    <row r="48" spans="1:2" x14ac:dyDescent="0.25">
      <c r="A48">
        <v>47</v>
      </c>
      <c r="B48" s="34" t="s">
        <v>263</v>
      </c>
    </row>
    <row r="49" spans="1:2" x14ac:dyDescent="0.25">
      <c r="A49">
        <v>48</v>
      </c>
      <c r="B49" s="34" t="s">
        <v>271</v>
      </c>
    </row>
    <row r="50" spans="1:2" x14ac:dyDescent="0.25">
      <c r="A50">
        <v>49</v>
      </c>
      <c r="B50" s="32" t="s">
        <v>283</v>
      </c>
    </row>
    <row r="51" spans="1:2" x14ac:dyDescent="0.25">
      <c r="A51">
        <v>50</v>
      </c>
      <c r="B51" s="13" t="s">
        <v>289</v>
      </c>
    </row>
    <row r="52" spans="1:2" x14ac:dyDescent="0.25">
      <c r="A52">
        <v>51</v>
      </c>
      <c r="B52" s="8" t="s">
        <v>303</v>
      </c>
    </row>
    <row r="53" spans="1:2" x14ac:dyDescent="0.25">
      <c r="A53">
        <v>52</v>
      </c>
      <c r="B53" s="13" t="s">
        <v>305</v>
      </c>
    </row>
    <row r="54" spans="1:2" x14ac:dyDescent="0.25">
      <c r="A54">
        <v>53</v>
      </c>
      <c r="B54" s="118" t="s">
        <v>310</v>
      </c>
    </row>
    <row r="55" spans="1:2" x14ac:dyDescent="0.25">
      <c r="A55">
        <v>54</v>
      </c>
      <c r="B55" s="118" t="s">
        <v>317</v>
      </c>
    </row>
    <row r="56" spans="1:2" x14ac:dyDescent="0.25">
      <c r="A56">
        <v>55</v>
      </c>
      <c r="B56" s="119" t="s">
        <v>324</v>
      </c>
    </row>
    <row r="57" spans="1:2" x14ac:dyDescent="0.25">
      <c r="A57">
        <v>56</v>
      </c>
      <c r="B57" s="118" t="s">
        <v>329</v>
      </c>
    </row>
    <row r="58" spans="1:2" x14ac:dyDescent="0.25">
      <c r="A58">
        <v>57</v>
      </c>
      <c r="B58" s="15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CDF8-729D-4475-8C87-B6A7BC17C469}">
  <dimension ref="A1:B11"/>
  <sheetViews>
    <sheetView workbookViewId="0">
      <selection activeCell="D13" sqref="A1:XFD1048576"/>
    </sheetView>
  </sheetViews>
  <sheetFormatPr defaultRowHeight="15" x14ac:dyDescent="0.25"/>
  <sheetData>
    <row r="1" spans="1:2" x14ac:dyDescent="0.25">
      <c r="A1" s="120" t="s">
        <v>424</v>
      </c>
      <c r="B1" s="120" t="s">
        <v>425</v>
      </c>
    </row>
    <row r="2" spans="1:2" x14ac:dyDescent="0.25">
      <c r="A2" s="120">
        <v>1</v>
      </c>
      <c r="B2" s="120" t="s">
        <v>426</v>
      </c>
    </row>
    <row r="3" spans="1:2" x14ac:dyDescent="0.25">
      <c r="A3" s="120">
        <v>2</v>
      </c>
      <c r="B3" s="120" t="s">
        <v>427</v>
      </c>
    </row>
    <row r="4" spans="1:2" x14ac:dyDescent="0.25">
      <c r="A4" s="120">
        <v>3</v>
      </c>
      <c r="B4" s="120" t="s">
        <v>3</v>
      </c>
    </row>
    <row r="5" spans="1:2" x14ac:dyDescent="0.25">
      <c r="A5" s="120">
        <v>4</v>
      </c>
      <c r="B5" s="120" t="s">
        <v>13</v>
      </c>
    </row>
    <row r="6" spans="1:2" x14ac:dyDescent="0.25">
      <c r="A6" s="120">
        <v>5</v>
      </c>
      <c r="B6" s="120" t="s">
        <v>20</v>
      </c>
    </row>
    <row r="7" spans="1:2" x14ac:dyDescent="0.25">
      <c r="A7" s="120">
        <v>6</v>
      </c>
      <c r="B7" s="120" t="s">
        <v>115</v>
      </c>
    </row>
    <row r="8" spans="1:2" x14ac:dyDescent="0.25">
      <c r="A8" s="120">
        <v>6</v>
      </c>
      <c r="B8" s="120" t="s">
        <v>112</v>
      </c>
    </row>
    <row r="9" spans="1:2" x14ac:dyDescent="0.25">
      <c r="A9" s="120">
        <v>6</v>
      </c>
      <c r="B9" s="120" t="s">
        <v>76</v>
      </c>
    </row>
    <row r="10" spans="1:2" x14ac:dyDescent="0.25">
      <c r="A10" s="120">
        <v>7</v>
      </c>
      <c r="B10" s="120" t="s">
        <v>428</v>
      </c>
    </row>
    <row r="11" spans="1:2" x14ac:dyDescent="0.25">
      <c r="A11" s="120">
        <v>8</v>
      </c>
      <c r="B11" s="120" t="s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49F7-D881-40C6-8DAB-C62D808DAD3A}">
  <dimension ref="A1:B35"/>
  <sheetViews>
    <sheetView tabSelected="1" topLeftCell="A7" workbookViewId="0">
      <selection activeCell="C35" sqref="C35"/>
    </sheetView>
  </sheetViews>
  <sheetFormatPr defaultRowHeight="15" x14ac:dyDescent="0.25"/>
  <cols>
    <col min="1" max="1" width="8.140625" bestFit="1" customWidth="1"/>
    <col min="2" max="2" width="11.28515625" bestFit="1" customWidth="1"/>
  </cols>
  <sheetData>
    <row r="1" spans="1:2" x14ac:dyDescent="0.25">
      <c r="A1" s="120" t="s">
        <v>424</v>
      </c>
      <c r="B1" s="120" t="s">
        <v>425</v>
      </c>
    </row>
    <row r="2" spans="1:2" x14ac:dyDescent="0.25">
      <c r="A2" s="120">
        <v>1</v>
      </c>
      <c r="B2" s="120" t="s">
        <v>437</v>
      </c>
    </row>
    <row r="3" spans="1:2" x14ac:dyDescent="0.25">
      <c r="A3" s="120">
        <v>2</v>
      </c>
      <c r="B3" s="120" t="s">
        <v>438</v>
      </c>
    </row>
    <row r="4" spans="1:2" x14ac:dyDescent="0.25">
      <c r="A4" s="120">
        <v>3</v>
      </c>
      <c r="B4" s="120" t="s">
        <v>439</v>
      </c>
    </row>
    <row r="5" spans="1:2" x14ac:dyDescent="0.25">
      <c r="A5" s="120">
        <v>4</v>
      </c>
      <c r="B5" s="120" t="s">
        <v>440</v>
      </c>
    </row>
    <row r="6" spans="1:2" x14ac:dyDescent="0.25">
      <c r="A6" s="120">
        <v>5</v>
      </c>
      <c r="B6" s="120" t="s">
        <v>441</v>
      </c>
    </row>
    <row r="7" spans="1:2" x14ac:dyDescent="0.25">
      <c r="A7" s="120">
        <v>6</v>
      </c>
      <c r="B7" s="120" t="s">
        <v>442</v>
      </c>
    </row>
    <row r="8" spans="1:2" x14ac:dyDescent="0.25">
      <c r="A8" s="120">
        <v>7</v>
      </c>
      <c r="B8" s="120" t="s">
        <v>443</v>
      </c>
    </row>
    <row r="9" spans="1:2" x14ac:dyDescent="0.25">
      <c r="A9" s="120">
        <v>8</v>
      </c>
      <c r="B9" s="120" t="s">
        <v>444</v>
      </c>
    </row>
    <row r="10" spans="1:2" x14ac:dyDescent="0.25">
      <c r="A10" s="120">
        <v>9</v>
      </c>
      <c r="B10" s="120" t="s">
        <v>445</v>
      </c>
    </row>
    <row r="11" spans="1:2" x14ac:dyDescent="0.25">
      <c r="A11" s="120">
        <v>10</v>
      </c>
      <c r="B11" s="120" t="s">
        <v>446</v>
      </c>
    </row>
    <row r="12" spans="1:2" x14ac:dyDescent="0.25">
      <c r="A12" s="120">
        <v>11</v>
      </c>
      <c r="B12" s="120" t="s">
        <v>447</v>
      </c>
    </row>
    <row r="13" spans="1:2" x14ac:dyDescent="0.25">
      <c r="A13" s="120">
        <v>12</v>
      </c>
      <c r="B13" s="120" t="s">
        <v>448</v>
      </c>
    </row>
    <row r="14" spans="1:2" x14ac:dyDescent="0.25">
      <c r="A14" s="120">
        <v>13</v>
      </c>
      <c r="B14" s="120" t="s">
        <v>449</v>
      </c>
    </row>
    <row r="15" spans="1:2" x14ac:dyDescent="0.25">
      <c r="A15" s="120">
        <v>14</v>
      </c>
      <c r="B15" s="120" t="s">
        <v>450</v>
      </c>
    </row>
    <row r="16" spans="1:2" x14ac:dyDescent="0.25">
      <c r="A16" s="120">
        <v>15</v>
      </c>
      <c r="B16" s="120" t="s">
        <v>451</v>
      </c>
    </row>
    <row r="17" spans="1:2" x14ac:dyDescent="0.25">
      <c r="A17" s="120">
        <v>16</v>
      </c>
      <c r="B17" s="120" t="s">
        <v>452</v>
      </c>
    </row>
    <row r="18" spans="1:2" x14ac:dyDescent="0.25">
      <c r="A18" s="120">
        <v>17</v>
      </c>
      <c r="B18" s="120" t="s">
        <v>453</v>
      </c>
    </row>
    <row r="19" spans="1:2" x14ac:dyDescent="0.25">
      <c r="A19" s="120">
        <v>18</v>
      </c>
      <c r="B19" s="120" t="s">
        <v>454</v>
      </c>
    </row>
    <row r="20" spans="1:2" x14ac:dyDescent="0.25">
      <c r="A20" s="120">
        <v>19</v>
      </c>
      <c r="B20" s="120" t="s">
        <v>455</v>
      </c>
    </row>
    <row r="21" spans="1:2" x14ac:dyDescent="0.25">
      <c r="A21" s="120">
        <v>20</v>
      </c>
      <c r="B21" s="120" t="s">
        <v>456</v>
      </c>
    </row>
    <row r="22" spans="1:2" x14ac:dyDescent="0.25">
      <c r="A22" s="120">
        <v>21</v>
      </c>
      <c r="B22" s="120" t="s">
        <v>457</v>
      </c>
    </row>
    <row r="23" spans="1:2" x14ac:dyDescent="0.25">
      <c r="A23" s="120">
        <v>22</v>
      </c>
      <c r="B23" s="120" t="s">
        <v>110</v>
      </c>
    </row>
    <row r="24" spans="1:2" x14ac:dyDescent="0.25">
      <c r="A24" s="120">
        <v>23</v>
      </c>
      <c r="B24" s="120" t="s">
        <v>458</v>
      </c>
    </row>
    <row r="25" spans="1:2" x14ac:dyDescent="0.25">
      <c r="A25" s="120">
        <v>24</v>
      </c>
      <c r="B25" s="120" t="s">
        <v>65</v>
      </c>
    </row>
    <row r="26" spans="1:2" x14ac:dyDescent="0.25">
      <c r="A26" s="120">
        <v>25</v>
      </c>
      <c r="B26" s="120" t="s">
        <v>459</v>
      </c>
    </row>
    <row r="27" spans="1:2" x14ac:dyDescent="0.25">
      <c r="A27" s="120">
        <v>26</v>
      </c>
      <c r="B27" s="120" t="s">
        <v>104</v>
      </c>
    </row>
    <row r="28" spans="1:2" x14ac:dyDescent="0.25">
      <c r="A28" s="120">
        <v>27</v>
      </c>
      <c r="B28" s="120" t="s">
        <v>460</v>
      </c>
    </row>
    <row r="29" spans="1:2" x14ac:dyDescent="0.25">
      <c r="A29" s="120">
        <v>28</v>
      </c>
      <c r="B29" s="120" t="s">
        <v>461</v>
      </c>
    </row>
    <row r="30" spans="1:2" x14ac:dyDescent="0.25">
      <c r="A30" s="120">
        <v>29</v>
      </c>
      <c r="B30" s="120" t="s">
        <v>462</v>
      </c>
    </row>
    <row r="31" spans="1:2" x14ac:dyDescent="0.25">
      <c r="A31" s="120">
        <v>30</v>
      </c>
      <c r="B31" s="120" t="s">
        <v>463</v>
      </c>
    </row>
    <row r="32" spans="1:2" x14ac:dyDescent="0.25">
      <c r="A32" s="120">
        <v>31</v>
      </c>
      <c r="B32" s="120" t="s">
        <v>464</v>
      </c>
    </row>
    <row r="33" spans="1:2" x14ac:dyDescent="0.25">
      <c r="A33" s="120">
        <v>32</v>
      </c>
      <c r="B33" s="120" t="s">
        <v>465</v>
      </c>
    </row>
    <row r="34" spans="1:2" x14ac:dyDescent="0.25">
      <c r="A34" s="120">
        <v>33</v>
      </c>
      <c r="B34" s="120" t="s">
        <v>466</v>
      </c>
    </row>
    <row r="35" spans="1:2" x14ac:dyDescent="0.25">
      <c r="A35" s="120">
        <v>34</v>
      </c>
      <c r="B35" s="120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D50E-0B1D-4456-8FB7-72AFF45597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K6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Humas BKN1</dc:creator>
  <cp:lastModifiedBy>Humas BKN1</cp:lastModifiedBy>
  <dcterms:created xsi:type="dcterms:W3CDTF">2026-05-06T03:37:39Z</dcterms:created>
  <dcterms:modified xsi:type="dcterms:W3CDTF">2026-05-06T06:26:51Z</dcterms:modified>
</cp:coreProperties>
</file>